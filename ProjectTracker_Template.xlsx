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2001_{47B783DE-3348-4D7D-BE87-97A2375EA13C}" xr6:coauthVersionLast="47" xr6:coauthVersionMax="47" xr10:uidLastSave="{00000000-0000-0000-0000-000000000000}"/>
  <bookViews>
    <workbookView xWindow="-120" yWindow="-120" windowWidth="51840" windowHeight="21120" xr2:uid="{069FEE50-B4D0-4342-8685-CA2DCEB08F15}"/>
  </bookViews>
  <sheets>
    <sheet name="Plan" sheetId="1" r:id="rId1"/>
    <sheet name="Settings" sheetId="2" r:id="rId2"/>
  </sheets>
  <definedNames>
    <definedName name="_xlnm._FilterDatabase" localSheetId="0" hidden="1">Plan!$B$13:$F$13</definedName>
    <definedName name="color_by">Plan!$U$6</definedName>
    <definedName name="color_code" localSheetId="0">_xlfn.SWITCH(color_by,"Project",Plan!color_code_project,"Teams",Plan!color_code_teams,"Issues",Plan!color_code_issues, Plan!color_code_default)</definedName>
    <definedName name="color_code_default" localSheetId="0">IF(Plan!type&lt;&gt;"",_xlfn.SWITCH(Plan!type,"P",1,"T",2,"M",3),-1)</definedName>
    <definedName name="color_code_issues" localSheetId="0">IF(Plan!issue="⚠️",_xlfn.SWITCH(Plan!type,"P",901,"T",901,"M",902),Plan!color_code_default)</definedName>
    <definedName name="color_code_project" localSheetId="0">IF(Plan!stage_id=-1,-1,_xlfn.NUMBERVALUE(  IF(MOD(Plan!stage_id,8)=0,8,MOD(Plan!stage_id,8)) &amp; _xlfn.SWITCH(Plan!type,"P","01","T","02","M","03")))</definedName>
    <definedName name="color_code_teams" localSheetId="0">IF(Plan!team_id=-1,Plan!color_code_default,_xlfn.NUMBERVALUE(Plan!team_id &amp; _xlfn.SWITCH(Plan!type,"T","01","M","04")))</definedName>
    <definedName name="d.conn" localSheetId="0">Plan!$O1</definedName>
    <definedName name="d.id" localSheetId="0">Plan!$L1</definedName>
    <definedName name="d.lag" localSheetId="0">Plan!$P1</definedName>
    <definedName name="d.name" localSheetId="0">INDEX(Plan!$F:$F,Plan!d.row)</definedName>
    <definedName name="d.row" localSheetId="0">MATCH(Plan!d.id,Plan!$D:$D,0)</definedName>
    <definedName name="d.type" localSheetId="0">INDEX(Plan!$E:$E,Plan!d.row)</definedName>
    <definedName name="date" localSheetId="0">Plan!A$12</definedName>
    <definedName name="ff_calculation" localSheetId="0">INDEX(Plan!$S:$S,Plan!d.row)+Plan!d.lag</definedName>
    <definedName name="fs_calculation" localSheetId="0">INDEX(Plan!$S:$S,Plan!d.row)+1+Plan!d.lag</definedName>
    <definedName name="highlight">Plan!$AG$6</definedName>
    <definedName name="id" localSheetId="0">Plan!$D1</definedName>
    <definedName name="ind.end" localSheetId="0">Plan!$K1</definedName>
    <definedName name="ind.start" localSheetId="0">Plan!$J1</definedName>
    <definedName name="issue" localSheetId="0">Plan!$I1</definedName>
    <definedName name="item_in_complete" localSheetId="0">AND(Plan!date&gt;=Plan!plan_start,Plan!date&lt;=Plan!plan_start + (Plan!workdays * Plan!percentage_complete) -1)</definedName>
    <definedName name="item_in_plan" localSheetId="0">AND(Plan!date&gt;=Plan!plan_start,Plan!date&lt;=Plan!plan_end)</definedName>
    <definedName name="next_date" localSheetId="0">Plan!B$12</definedName>
    <definedName name="percentage_complete" localSheetId="0">Plan!$T1</definedName>
    <definedName name="plan_end" localSheetId="0">Plan!$S1</definedName>
    <definedName name="plan_end_calculation" localSheetId="0">Plan!plan_start + (Plan!workdays -1)</definedName>
    <definedName name="plan_start" localSheetId="0">Plan!$R1</definedName>
    <definedName name="plan_start_calculation" localSheetId="0">Plan!plan_end - (Plan!workdays - 1)</definedName>
    <definedName name="prev_col_range" localSheetId="0">Plan!A$13:A1048576</definedName>
    <definedName name="project_duration" localSheetId="0">_xlfn.DAYS(Plan!project_end,Plan!project_start)</definedName>
    <definedName name="project_end" localSheetId="0">MAX(Plan!$S$13:$S$198)</definedName>
    <definedName name="project_start" localSheetId="0">MIN(Plan!$R$13:$R$198)</definedName>
    <definedName name="scroll_increment" localSheetId="0">Plan!$T$11</definedName>
    <definedName name="sf_calculation" localSheetId="0">INDEX(Plan!$R:$R,Plan!d.row)-1+Plan!d.lag</definedName>
    <definedName name="show_progress">Plan!$AA$6</definedName>
    <definedName name="ss_calculation" localSheetId="0">INDEX(Plan!$R:$R,Plan!d.row)+Plan!d.lag</definedName>
    <definedName name="stage_id" localSheetId="0">Plan!$C1</definedName>
    <definedName name="team" localSheetId="0">Plan!$H1</definedName>
    <definedName name="team_id" localSheetId="0">Plan!$B1</definedName>
    <definedName name="timeline_plan_start" localSheetId="0">IF(Plan!project_start=0,TODAY()-WEEKDAY(TODAY(),3),Plan!project_start-WEEKDAY(Plan!project_start,3))</definedName>
    <definedName name="type" localSheetId="0">Plan!$E1</definedName>
    <definedName name="workdays" localSheetId="0">MAX(Plan!$Q1,1)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R16" i="1" s="1" a="1"/>
  <c r="R16" i="1" s="1"/>
  <c r="S16" i="1" s="1" a="1"/>
  <c r="S16" i="1" s="1"/>
  <c r="T19" i="1"/>
  <c r="T15" i="1" s="1" a="1"/>
  <c r="T15" i="1" s="1"/>
  <c r="C16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15" i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M16" i="1"/>
  <c r="M39" i="1"/>
  <c r="M40" i="1"/>
  <c r="M41" i="1"/>
  <c r="M42" i="1"/>
  <c r="M43" i="1"/>
  <c r="M44" i="1"/>
  <c r="M45" i="1"/>
  <c r="M46" i="1"/>
  <c r="M47" i="1"/>
  <c r="M15" i="1"/>
  <c r="D15" i="1"/>
  <c r="C17" i="1" l="1"/>
  <c r="C18" i="1" s="1"/>
  <c r="D16" i="1"/>
  <c r="C19" i="1" l="1"/>
  <c r="D17" i="1"/>
  <c r="C20" i="1" l="1"/>
  <c r="C21" i="1" s="1"/>
  <c r="C22" i="1" s="1"/>
  <c r="C23" i="1" s="1"/>
  <c r="N17" i="1" a="1"/>
  <c r="N17" i="1" s="1"/>
  <c r="M17" i="1"/>
  <c r="D18" i="1"/>
  <c r="C24" i="1" l="1"/>
  <c r="C25" i="1"/>
  <c r="D19" i="1"/>
  <c r="N18" i="1" a="1"/>
  <c r="N18" i="1" s="1"/>
  <c r="M18" i="1"/>
  <c r="C26" i="1" l="1"/>
  <c r="D20" i="1"/>
  <c r="N19" i="1" a="1"/>
  <c r="N19" i="1" s="1"/>
  <c r="M19" i="1"/>
  <c r="C27" i="1" l="1"/>
  <c r="D21" i="1"/>
  <c r="C28" i="1" l="1"/>
  <c r="D22" i="1"/>
  <c r="D23" i="1" l="1"/>
  <c r="C29" i="1"/>
  <c r="C30" i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D24" i="1"/>
  <c r="C42" i="1" l="1"/>
  <c r="C43" i="1" s="1"/>
  <c r="C44" i="1" s="1"/>
  <c r="C45" i="1" s="1"/>
  <c r="C46" i="1" s="1"/>
  <c r="C47" i="1" s="1"/>
  <c r="D25" i="1"/>
  <c r="D26" i="1" l="1"/>
  <c r="D27" i="1" l="1"/>
  <c r="D28" i="1" l="1"/>
  <c r="D29" i="1" l="1"/>
  <c r="D30" i="1" s="1"/>
  <c r="D31" i="1" l="1"/>
  <c r="D32" i="1" l="1"/>
  <c r="D33" i="1" l="1"/>
  <c r="D34" i="1" l="1"/>
  <c r="D35" i="1" s="1"/>
  <c r="D36" i="1" s="1"/>
  <c r="D37" i="1" l="1"/>
  <c r="D38" i="1" l="1"/>
  <c r="D39" i="1" s="1"/>
  <c r="D40" i="1" s="1"/>
  <c r="D41" i="1" s="1"/>
  <c r="D42" i="1" s="1"/>
  <c r="D43" i="1" s="1"/>
  <c r="D44" i="1" s="1"/>
  <c r="D45" i="1" s="1"/>
  <c r="D46" i="1" s="1"/>
  <c r="D47" i="1" s="1"/>
  <c r="N15" i="1" l="1" a="1"/>
  <c r="N15" i="1" s="1"/>
  <c r="N42" i="1" a="1"/>
  <c r="N42" i="1" s="1"/>
  <c r="N44" i="1" a="1"/>
  <c r="N44" i="1" s="1"/>
  <c r="N43" i="1" l="1" a="1"/>
  <c r="N43" i="1" s="1"/>
  <c r="N41" i="1" a="1"/>
  <c r="N41" i="1" s="1"/>
  <c r="N46" i="1" a="1"/>
  <c r="N46" i="1" s="1"/>
  <c r="N39" i="1" a="1"/>
  <c r="N39" i="1" s="1"/>
  <c r="N16" i="1" a="1"/>
  <c r="N16" i="1" s="1"/>
  <c r="N40" i="1" a="1"/>
  <c r="N40" i="1" s="1"/>
  <c r="N47" i="1" a="1"/>
  <c r="N47" i="1" s="1"/>
  <c r="N45" i="1" a="1"/>
  <c r="N45" i="1" s="1"/>
  <c r="R17" i="1" l="1" a="1"/>
  <c r="R17" i="1" s="1"/>
  <c r="S17" i="1" l="1" a="1"/>
  <c r="S17" i="1" s="1"/>
  <c r="R18" i="1" l="1" a="1"/>
  <c r="R18" i="1" s="1"/>
  <c r="S18" i="1" l="1" a="1"/>
  <c r="S18" i="1" s="1"/>
  <c r="S19" i="1" l="1" a="1"/>
  <c r="S19" i="1" s="1"/>
  <c r="R19" i="1" l="1" a="1"/>
  <c r="R19" i="1" s="1"/>
  <c r="J15" i="1" l="1"/>
  <c r="R15" i="1" s="1" a="1"/>
  <c r="R15" i="1" s="1"/>
  <c r="Q15" i="1" l="1"/>
  <c r="S15" i="1" s="1" a="1"/>
  <c r="S15" i="1" s="1"/>
  <c r="AF2" i="1" s="1" a="1"/>
  <c r="AF2" i="1" s="1"/>
  <c r="Y2" i="1" l="1" a="1"/>
  <c r="Y2" i="1" s="1"/>
  <c r="U12" i="1" a="1"/>
  <c r="U12" i="1" s="1"/>
  <c r="AC2" i="1" a="1"/>
  <c r="AC2" i="1" s="1"/>
  <c r="U13" i="1" l="1"/>
  <c r="V12" i="1"/>
  <c r="V11" i="1" s="1"/>
  <c r="V10" i="1" s="1"/>
  <c r="U11" i="1"/>
  <c r="U10" i="1" s="1"/>
  <c r="V13" i="1" l="1"/>
  <c r="W12" i="1"/>
  <c r="W13" i="1" l="1"/>
  <c r="X12" i="1"/>
  <c r="Y12" i="1" s="1"/>
  <c r="W11" i="1"/>
  <c r="W10" i="1" s="1"/>
  <c r="X13" i="1" l="1"/>
  <c r="X11" i="1"/>
  <c r="X10" i="1" s="1"/>
  <c r="Z12" i="1"/>
  <c r="Y11" i="1"/>
  <c r="Y10" i="1" s="1"/>
  <c r="Y13" i="1"/>
  <c r="Z11" i="1" l="1"/>
  <c r="Z10" i="1" s="1"/>
  <c r="AA12" i="1"/>
  <c r="Z13" i="1"/>
  <c r="AA13" i="1" l="1"/>
  <c r="AA11" i="1"/>
  <c r="AA10" i="1" s="1"/>
  <c r="AB12" i="1"/>
  <c r="AC12" i="1" l="1"/>
  <c r="AB11" i="1"/>
  <c r="AB10" i="1" s="1"/>
  <c r="AB13" i="1"/>
  <c r="AC13" i="1" l="1"/>
  <c r="AC11" i="1"/>
  <c r="AC10" i="1" s="1"/>
  <c r="AD12" i="1"/>
  <c r="AD13" i="1" l="1"/>
  <c r="AE12" i="1"/>
  <c r="AD11" i="1"/>
  <c r="AD10" i="1" s="1"/>
  <c r="AF12" i="1" l="1"/>
  <c r="AE13" i="1"/>
  <c r="AE11" i="1"/>
  <c r="AE10" i="1" s="1"/>
  <c r="AG12" i="1" l="1"/>
  <c r="AF11" i="1"/>
  <c r="AF10" i="1" s="1"/>
  <c r="AF13" i="1"/>
  <c r="AG13" i="1" l="1"/>
  <c r="AH12" i="1"/>
  <c r="AG11" i="1"/>
  <c r="AG10" i="1" s="1"/>
  <c r="AH13" i="1" l="1"/>
  <c r="AI12" i="1"/>
  <c r="AH11" i="1"/>
  <c r="AH10" i="1" s="1"/>
  <c r="AJ12" i="1" l="1"/>
  <c r="AI13" i="1"/>
  <c r="AI11" i="1"/>
  <c r="AI10" i="1" s="1"/>
  <c r="AK12" i="1" l="1"/>
  <c r="AJ11" i="1"/>
  <c r="AJ10" i="1" s="1"/>
  <c r="AJ13" i="1"/>
  <c r="AK11" i="1" l="1"/>
  <c r="AK10" i="1" s="1"/>
  <c r="AL12" i="1"/>
  <c r="AK13" i="1"/>
  <c r="AM12" i="1" l="1"/>
  <c r="AL13" i="1"/>
  <c r="AL11" i="1"/>
  <c r="AL10" i="1" s="1"/>
  <c r="AM13" i="1" l="1"/>
  <c r="AN12" i="1"/>
  <c r="AM11" i="1"/>
  <c r="AM10" i="1" s="1"/>
  <c r="AN13" i="1" l="1"/>
  <c r="AO12" i="1"/>
  <c r="AN11" i="1"/>
  <c r="AN10" i="1" s="1"/>
  <c r="AO11" i="1" l="1"/>
  <c r="AO10" i="1" s="1"/>
  <c r="AO13" i="1"/>
  <c r="AP12" i="1"/>
  <c r="AP13" i="1" l="1"/>
  <c r="AP11" i="1"/>
  <c r="AP10" i="1" s="1"/>
  <c r="AQ12" i="1"/>
  <c r="AQ11" i="1" l="1"/>
  <c r="AQ10" i="1" s="1"/>
  <c r="AR12" i="1"/>
  <c r="AQ13" i="1"/>
  <c r="AR11" i="1" l="1"/>
  <c r="AR10" i="1" s="1"/>
  <c r="AS12" i="1"/>
  <c r="AR13" i="1"/>
  <c r="AT12" i="1" l="1"/>
  <c r="AS13" i="1"/>
  <c r="AS11" i="1"/>
  <c r="AS10" i="1" s="1"/>
  <c r="AU12" i="1" l="1"/>
  <c r="AT11" i="1"/>
  <c r="AT10" i="1" s="1"/>
  <c r="AT13" i="1"/>
  <c r="AV12" i="1" l="1"/>
  <c r="AU11" i="1"/>
  <c r="AU10" i="1" s="1"/>
  <c r="AU13" i="1"/>
  <c r="AV13" i="1" l="1"/>
  <c r="AW12" i="1"/>
  <c r="AV11" i="1"/>
  <c r="AV10" i="1" s="1"/>
  <c r="AW11" i="1" l="1"/>
  <c r="AW10" i="1" s="1"/>
  <c r="AW13" i="1"/>
  <c r="AX12" i="1"/>
  <c r="AX13" i="1" l="1"/>
  <c r="AX11" i="1"/>
  <c r="AX10" i="1" s="1"/>
  <c r="AY12" i="1"/>
  <c r="AY11" i="1" l="1"/>
  <c r="AY10" i="1" s="1"/>
  <c r="AY13" i="1"/>
  <c r="AZ12" i="1"/>
  <c r="BA12" i="1" l="1"/>
  <c r="AZ13" i="1"/>
  <c r="AZ11" i="1"/>
  <c r="AZ10" i="1" s="1"/>
  <c r="BB12" i="1" l="1"/>
  <c r="BA11" i="1"/>
  <c r="BA10" i="1" s="1"/>
  <c r="BA13" i="1"/>
  <c r="BB11" i="1" l="1"/>
  <c r="BB10" i="1" s="1"/>
  <c r="BC12" i="1"/>
  <c r="BB13" i="1"/>
  <c r="BC11" i="1" l="1"/>
  <c r="BC10" i="1" s="1"/>
  <c r="BC13" i="1"/>
  <c r="BD12" i="1"/>
  <c r="BD13" i="1" l="1"/>
  <c r="BE12" i="1"/>
  <c r="BD11" i="1"/>
  <c r="BD10" i="1" s="1"/>
  <c r="BE13" i="1" l="1"/>
  <c r="BE11" i="1"/>
  <c r="BE10" i="1" s="1"/>
  <c r="BF12" i="1"/>
  <c r="BF13" i="1" l="1"/>
  <c r="BF11" i="1"/>
  <c r="BF10" i="1" s="1"/>
  <c r="BG12" i="1"/>
  <c r="BG11" i="1" l="1"/>
  <c r="BG10" i="1" s="1"/>
  <c r="BG13" i="1"/>
  <c r="BH12" i="1"/>
  <c r="BH11" i="1" l="1"/>
  <c r="BH10" i="1" s="1"/>
  <c r="BI12" i="1"/>
  <c r="BH13" i="1"/>
  <c r="BI11" i="1" l="1"/>
  <c r="BI10" i="1" s="1"/>
  <c r="BJ12" i="1"/>
  <c r="BI13" i="1"/>
  <c r="BJ13" i="1" l="1"/>
  <c r="BJ11" i="1"/>
  <c r="BJ10" i="1" s="1"/>
  <c r="BK12" i="1"/>
  <c r="BK11" i="1" l="1"/>
  <c r="BK10" i="1" s="1"/>
  <c r="BL12" i="1"/>
  <c r="BK13" i="1"/>
  <c r="BL13" i="1" l="1"/>
  <c r="BL11" i="1"/>
  <c r="BL10" i="1" s="1"/>
  <c r="BM12" i="1"/>
  <c r="BN12" i="1" l="1"/>
  <c r="BM13" i="1"/>
  <c r="BM11" i="1"/>
  <c r="BM10" i="1" s="1"/>
  <c r="BN13" i="1" l="1"/>
  <c r="BN11" i="1"/>
  <c r="BN10" i="1" s="1"/>
  <c r="BO12" i="1"/>
  <c r="BP12" i="1" l="1"/>
  <c r="BO13" i="1"/>
  <c r="BO11" i="1"/>
  <c r="BO10" i="1" s="1"/>
  <c r="BP11" i="1" l="1"/>
  <c r="BP10" i="1" s="1"/>
  <c r="BP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<sst xmlns="http://schemas.openxmlformats.org/spreadsheetml/2006/main" count="60" uniqueCount="45">
  <si>
    <t>id</t>
  </si>
  <si>
    <t>Start</t>
  </si>
  <si>
    <t>End</t>
  </si>
  <si>
    <t>d.id</t>
  </si>
  <si>
    <t>d.item</t>
  </si>
  <si>
    <t>d.conn</t>
  </si>
  <si>
    <t>d.lag</t>
  </si>
  <si>
    <t>workdays</t>
  </si>
  <si>
    <t>%</t>
  </si>
  <si>
    <t>Teams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</si>
  <si>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</si>
  <si>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</si>
  <si>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</si>
  <si>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</si>
  <si>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</si>
  <si>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</si>
  <si>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</si>
  <si>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</si>
  <si>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stage_id</t>
  </si>
  <si>
    <t>team_id</t>
  </si>
  <si>
    <t>Color By</t>
  </si>
  <si>
    <t>Show Progress</t>
  </si>
  <si>
    <t>P</t>
  </si>
  <si>
    <t>T</t>
  </si>
  <si>
    <t>M</t>
  </si>
  <si>
    <t>Project 1</t>
  </si>
  <si>
    <t>Task 1</t>
  </si>
  <si>
    <t>Task 2</t>
  </si>
  <si>
    <t>Task 3</t>
  </si>
  <si>
    <t>Milestone 1</t>
  </si>
  <si>
    <t>FS</t>
  </si>
  <si>
    <t>FF</t>
  </si>
  <si>
    <t>Yes</t>
  </si>
  <si>
    <t>Default</t>
  </si>
  <si>
    <t>Highlight</t>
  </si>
  <si>
    <t>Today</t>
  </si>
  <si>
    <t>Project Template</t>
  </si>
  <si>
    <t>Project Timespan:</t>
  </si>
  <si>
    <t>---</t>
  </si>
  <si>
    <t>Type</t>
  </si>
  <si>
    <t>Description</t>
  </si>
  <si>
    <t>Team</t>
  </si>
  <si>
    <t>Issue</t>
  </si>
  <si>
    <t>Input Start</t>
  </si>
  <si>
    <t>Input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</si>
</sst>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"/>
    <numFmt numFmtId="165" formatCode="mmm"/>
    <numFmt numFmtId="166" formatCode="yyyy"/>
    <numFmt numFmtId="167" formatCode="&quot;&quot;"/>
    <numFmt numFmtId="172" formatCode="d\-mmm\-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2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0" tint="-0.74999237037263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8999908444471571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 tint="0.249977111117893"/>
        <bgColor indexed="64"/>
      </patternFill>
    </fill>
  </fills>
  <borders count="19">
    <border>
      <left/>
      <right/>
      <top/>
      <bottom/>
      <diagonal/>
    </border>
    <border>
      <left style="thin">
        <color theme="1" tint="0.749961851863155"/>
      </left>
      <right style="thin">
        <color theme="1" tint="0.749961851863155"/>
      </right>
      <top style="thin">
        <color theme="1" tint="0.749961851863155"/>
      </top>
      <bottom style="thin">
        <color theme="1" tint="0.749961851863155"/>
      </bottom>
      <diagonal/>
    </border>
    <border>
      <left/>
      <right/>
      <top style="thin">
        <color theme="1" tint="0.749961851863155"/>
      </top>
      <bottom style="thin">
        <color theme="1" tint="0.749961851863155"/>
      </bottom>
      <diagonal/>
    </border>
    <border>
      <left/>
      <right/>
      <top style="thin">
        <color theme="1" tint="0.749961851863155"/>
      </top>
      <bottom/>
      <diagonal/>
    </border>
    <border>
      <left style="thin">
        <color theme="1" tint="0.749961851863155"/>
      </left>
      <right style="thin">
        <color theme="1" tint="0.749961851863155"/>
      </right>
      <top/>
      <bottom/>
      <diagonal/>
    </border>
    <border>
      <left/>
      <right style="thin">
        <color theme="1" tint="0.749961851863155"/>
      </right>
      <top style="thin">
        <color theme="1" tint="0.749961851863155"/>
      </top>
      <bottom style="thin">
        <color theme="1" tint="0.749961851863155"/>
      </bottom>
      <diagonal/>
    </border>
    <border>
      <left style="thin">
        <color theme="1" tint="0.749961851863155"/>
      </left>
      <right/>
      <top/>
      <bottom/>
      <diagonal/>
    </border>
    <border>
      <left/>
      <right style="thin">
        <color theme="1" tint="0.749961851863155"/>
      </right>
      <top/>
      <bottom/>
      <diagonal/>
    </border>
    <border>
      <left style="thin">
        <color theme="1" tint="0.749961851863155"/>
      </left>
      <right/>
      <top/>
      <bottom style="thin">
        <color theme="1" tint="0.89996032593768116"/>
      </bottom>
      <diagonal/>
    </border>
    <border>
      <left/>
      <right/>
      <top/>
      <bottom style="thin">
        <color theme="1" tint="0.89996032593768116"/>
      </bottom>
      <diagonal/>
    </border>
    <border>
      <left/>
      <right style="thin">
        <color theme="1" tint="0.749961851863155"/>
      </right>
      <top/>
      <bottom style="thin">
        <color theme="1" tint="0.89996032593768116"/>
      </bottom>
      <diagonal/>
    </border>
    <border>
      <left style="thin">
        <color theme="1" tint="0.749961851863155"/>
      </left>
      <right style="thin">
        <color theme="1" tint="0.749961851863155"/>
      </right>
      <top/>
      <bottom style="thin">
        <color theme="1" tint="0.89996032593768116"/>
      </bottom>
      <diagonal/>
    </border>
    <border>
      <left style="thin">
        <color theme="1" tint="0.749961851863155"/>
      </left>
      <right/>
      <top style="thin">
        <color theme="1" tint="0.89996032593768116"/>
      </top>
      <bottom style="thin">
        <color theme="1" tint="0.89996032593768116"/>
      </bottom>
      <diagonal/>
    </border>
    <border>
      <left/>
      <right/>
      <top style="thin">
        <color theme="1" tint="0.89996032593768116"/>
      </top>
      <bottom style="thin">
        <color theme="1" tint="0.89996032593768116"/>
      </bottom>
      <diagonal/>
    </border>
    <border>
      <left/>
      <right style="thin">
        <color theme="1" tint="0.749961851863155"/>
      </right>
      <top style="thin">
        <color theme="1" tint="0.89996032593768116"/>
      </top>
      <bottom style="thin">
        <color theme="1" tint="0.89996032593768116"/>
      </bottom>
      <diagonal/>
    </border>
    <border>
      <left style="thin">
        <color theme="1" tint="0.749961851863155"/>
      </left>
      <right style="thin">
        <color theme="1" tint="0.749961851863155"/>
      </right>
      <top style="thin">
        <color theme="1" tint="0.89996032593768116"/>
      </top>
      <bottom style="thin">
        <color theme="1" tint="0.89996032593768116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9" fontId="5" fillId="3" borderId="4" xfId="1" applyFont="1" applyFill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6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3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indent="1"/>
    </xf>
    <xf numFmtId="0" fontId="0" fillId="0" borderId="14" xfId="0" applyBorder="1" applyAlignment="1">
      <alignment horizontal="center" vertical="center"/>
    </xf>
    <xf numFmtId="15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9" fontId="0" fillId="0" borderId="15" xfId="1" applyFont="1" applyBorder="1" applyAlignment="1">
      <alignment horizontal="center"/>
    </xf>
    <xf numFmtId="167" fontId="4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5" fontId="0" fillId="0" borderId="14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16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2" fillId="0" borderId="0" xfId="0" applyFont="1"/>
    <xf numFmtId="0" fontId="3" fillId="2" borderId="0" xfId="0" applyFont="1" applyFill="1"/>
    <xf numFmtId="15" fontId="0" fillId="0" borderId="16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15" fontId="0" fillId="0" borderId="18" xfId="0" applyNumberFormat="1" applyBorder="1" applyAlignment="1">
      <alignment horizontal="center"/>
    </xf>
    <xf numFmtId="0" fontId="13" fillId="2" borderId="0" xfId="0" applyFont="1" applyFill="1"/>
    <xf numFmtId="0" fontId="3" fillId="0" borderId="0" xfId="0" applyFont="1"/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172" fontId="16" fillId="2" borderId="0" xfId="0" applyNumberFormat="1" applyFont="1" applyFill="1" applyAlignment="1">
      <alignment horizontal="center" vertical="center"/>
    </xf>
    <xf numFmtId="0" fontId="16" fillId="2" borderId="0" xfId="0" quotePrefix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64">
    <dxf>
      <font>
        <color theme="2" tint="-0.499984740745262"/>
      </font>
      <numFmt numFmtId="168" formatCode="\✦"/>
    </dxf>
    <dxf>
      <fill>
        <patternFill>
          <bgColor theme="2" tint="-0.24994659260841701"/>
        </patternFill>
      </fill>
    </dxf>
    <dxf>
      <fill>
        <patternFill>
          <bgColor theme="2" tint="-0.499984740745262"/>
        </patternFill>
      </fill>
    </dxf>
    <dxf>
      <font>
        <color rgb="FF4739F9"/>
      </font>
      <numFmt numFmtId="168" formatCode="\✦"/>
    </dxf>
    <dxf>
      <fill>
        <patternFill>
          <bgColor rgb="FFA59EFC"/>
        </patternFill>
      </fill>
    </dxf>
    <dxf>
      <fill>
        <patternFill>
          <bgColor rgb="FF4739F9"/>
        </patternFill>
      </fill>
    </dxf>
    <dxf>
      <font>
        <color rgb="FF748B03"/>
      </font>
      <numFmt numFmtId="168" formatCode="\✦"/>
    </dxf>
    <dxf>
      <fill>
        <patternFill>
          <bgColor rgb="FFB9DD05"/>
        </patternFill>
      </fill>
    </dxf>
    <dxf>
      <fill>
        <patternFill>
          <bgColor rgb="FF748B03"/>
        </patternFill>
      </fill>
    </dxf>
    <dxf>
      <font>
        <color rgb="FFFF21A0"/>
      </font>
      <numFmt numFmtId="168" formatCode="\✦"/>
    </dxf>
    <dxf>
      <fill>
        <patternFill>
          <bgColor rgb="FFFF9BD4"/>
        </patternFill>
      </fill>
    </dxf>
    <dxf>
      <fill>
        <patternFill>
          <bgColor rgb="FFFF21A0"/>
        </patternFill>
      </fill>
    </dxf>
    <dxf>
      <font>
        <color rgb="FF00B0F0"/>
      </font>
      <numFmt numFmtId="168" formatCode="\✦"/>
    </dxf>
    <dxf>
      <fill>
        <patternFill>
          <bgColor rgb="FF8FE2FF"/>
        </patternFill>
      </fill>
    </dxf>
    <dxf>
      <fill>
        <patternFill>
          <bgColor rgb="FF00B0F0"/>
        </patternFill>
      </fill>
    </dxf>
    <dxf>
      <font>
        <color theme="9"/>
      </font>
      <numFmt numFmtId="168" formatCode="\✦"/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ont>
        <color theme="7" tint="-0.24994659260841701"/>
      </font>
      <numFmt numFmtId="168" formatCode="\✦"/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ont>
        <color theme="8"/>
      </font>
      <numFmt numFmtId="168" formatCode="\✦"/>
    </dxf>
    <dxf>
      <fill>
        <patternFill>
          <bgColor theme="8" tint="0.39994506668294322"/>
        </patternFill>
      </fill>
    </dxf>
    <dxf>
      <fill>
        <patternFill>
          <bgColor theme="8"/>
        </patternFill>
      </fill>
    </dxf>
    <dxf>
      <font>
        <color theme="6"/>
      </font>
      <numFmt numFmtId="168" formatCode="\✦"/>
    </dxf>
    <dxf>
      <fill>
        <patternFill>
          <bgColor theme="6" tint="0.39994506668294322"/>
        </patternFill>
      </fill>
    </dxf>
    <dxf>
      <fill>
        <patternFill>
          <bgColor theme="6"/>
        </patternFill>
      </fill>
    </dxf>
    <dxf>
      <font>
        <color rgb="FFFF0000"/>
      </font>
      <numFmt numFmtId="168" formatCode="\✦"/>
    </dxf>
    <dxf>
      <fill>
        <patternFill>
          <bgColor theme="4"/>
        </patternFill>
      </fill>
    </dxf>
    <dxf>
      <font>
        <color rgb="FF0D471C"/>
      </font>
      <numFmt numFmtId="169" formatCode="\✔"/>
    </dxf>
    <dxf>
      <fill>
        <patternFill>
          <bgColor rgb="FF0A3415"/>
        </patternFill>
      </fill>
    </dxf>
    <dxf>
      <border>
        <left style="thin">
          <color theme="1" tint="0.749961851863155"/>
        </left>
        <right/>
        <vertical/>
        <horizontal/>
      </border>
    </dxf>
    <dxf>
      <border>
        <right style="thin">
          <color theme="1" tint="0.749961851863155"/>
        </right>
        <vertical/>
        <horizontal/>
      </border>
    </dxf>
    <dxf>
      <font>
        <b/>
        <i val="0"/>
        <color theme="0"/>
      </font>
      <fill>
        <patternFill>
          <bgColor theme="1" tint="0.24994659260841701"/>
        </patternFill>
      </fill>
      <border>
        <vertical/>
        <horizontal/>
      </border>
    </dxf>
    <dxf>
      <fill>
        <patternFill>
          <bgColor theme="1" tint="0.749961851863155"/>
        </patternFill>
      </fill>
    </dxf>
    <dxf>
      <border>
        <right style="dashed">
          <color theme="4"/>
        </right>
        <vertical/>
        <horizontal/>
      </border>
    </dxf>
    <dxf>
      <fill>
        <patternFill>
          <bgColor theme="6" tint="-0.499984740745262"/>
        </patternFill>
      </fill>
    </dxf>
    <dxf>
      <font>
        <color theme="2"/>
      </font>
    </dxf>
    <dxf>
      <font>
        <color theme="2" tint="-9.9948118533890809E-2"/>
      </font>
    </dxf>
    <dxf>
      <font>
        <b/>
        <i val="0"/>
        <color rgb="FF00B0F0"/>
      </font>
    </dxf>
    <dxf>
      <font>
        <color theme="1" tint="0.499984740745262"/>
      </font>
    </dxf>
    <dxf>
      <numFmt numFmtId="170" formatCode="&quot;Auto&quot;"/>
    </dxf>
    <dxf>
      <font>
        <strike/>
        <color theme="4"/>
      </font>
    </dxf>
    <dxf>
      <fill>
        <patternFill>
          <bgColor theme="1" tint="0.749961851863155"/>
        </patternFill>
      </fill>
    </dxf>
    <dxf>
      <fill>
        <patternFill>
          <bgColor theme="1" tint="0.24994659260841701"/>
        </patternFill>
      </fill>
    </dxf>
    <dxf>
      <fill>
        <patternFill>
          <bgColor rgb="FFA59EFC"/>
        </patternFill>
      </fill>
    </dxf>
    <dxf>
      <fill>
        <patternFill>
          <bgColor rgb="FF4739F9"/>
        </patternFill>
      </fill>
    </dxf>
    <dxf>
      <fill>
        <patternFill>
          <bgColor rgb="FFB9DD05"/>
        </patternFill>
      </fill>
    </dxf>
    <dxf>
      <fill>
        <patternFill>
          <bgColor rgb="FF748B03"/>
        </patternFill>
      </fill>
    </dxf>
    <dxf>
      <fill>
        <patternFill>
          <bgColor rgb="FFFF9BD4"/>
        </patternFill>
      </fill>
    </dxf>
    <dxf>
      <fill>
        <patternFill>
          <bgColor rgb="FFFF21A0"/>
        </patternFill>
      </fill>
    </dxf>
    <dxf>
      <fill>
        <patternFill>
          <bgColor rgb="FF8FE2FF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8"/>
        </patternFill>
      </fill>
    </dxf>
    <dxf>
      <fill>
        <patternFill>
          <bgColor theme="6" tint="0.39994506668294322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numFmt numFmtId="171" formatCode="\ \ \ \ @"/>
    </dxf>
    <dxf>
      <font>
        <b/>
        <i val="0"/>
        <strike val="0"/>
      </font>
      <border>
        <top style="thin">
          <color theme="1" tint="0.24994659260841701"/>
        </top>
        <bottom style="thin">
          <color theme="1" tint="0.24994659260841701"/>
        </bottom>
        <vertical/>
        <horizontal/>
      </border>
    </dxf>
  </dxfs>
  <tableStyles count="0" defaultTableStyle="TableStyleMedium2" defaultPivotStyle="PivotStyleLight16"/>
  <colors>
    <mruColors>
      <color rgb="FFFFFFFF"/>
      <color rgb="FF0A3415"/>
      <color rgb="FF1F2329"/>
      <color rgb="FF0D471C"/>
      <color rgb="FF4739F9"/>
      <color rgb="FFA59EFC"/>
      <color rgb="FF748B03"/>
      <color rgb="FFB9DD05"/>
      <color rgb="FFFF21A0"/>
      <color rgb="FFFF9B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22" fmlaLink="$T$11" horiz="1" max="50" noThreeD="1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361950</xdr:colOff>
          <xdr:row>3</xdr:row>
          <xdr:rowOff>171450</xdr:rowOff>
        </xdr:from>
        <xdr:to>
          <xdr:col>40</xdr:col>
          <xdr:colOff>104775</xdr:colOff>
          <xdr:row>5</xdr:row>
          <xdr:rowOff>180975</xdr:rowOff>
        </xdr:to>
        <xdr:sp macro="" textlink="">
          <xdr:nvSpPr>
            <xdr:cNvPr id="1032" name="Scroll Bar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dvl_bulma">
      <a:dk1>
        <a:srgbClr val="1C1F22"/>
      </a:dk1>
      <a:lt1>
        <a:srgbClr val="E1E4E8"/>
      </a:lt1>
      <a:dk2>
        <a:srgbClr val="242424"/>
      </a:dk2>
      <a:lt2>
        <a:srgbClr val="F5F5F5"/>
      </a:lt2>
      <a:accent1>
        <a:srgbClr val="F74758"/>
      </a:accent1>
      <a:accent2>
        <a:srgbClr val="4BDD6E"/>
      </a:accent2>
      <a:accent3>
        <a:srgbClr val="2D91FF"/>
      </a:accent3>
      <a:accent4>
        <a:srgbClr val="FFD919"/>
      </a:accent4>
      <a:accent5>
        <a:srgbClr val="FF8837"/>
      </a:accent5>
      <a:accent6>
        <a:srgbClr val="9261E9"/>
      </a:accent6>
      <a:hlink>
        <a:srgbClr val="117DFF"/>
      </a:hlink>
      <a:folHlink>
        <a:srgbClr val="DC128A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BFF9-07DC-4217-8688-84272BA8EAD9}">
  <sheetPr codeName="Sheet1"/>
  <dimension ref="A1:BP47"/>
  <sheetViews>
    <sheetView showGridLines="0" tabSelected="1" workbookViewId="0">
      <selection activeCell="P4" sqref="P4"/>
    </sheetView>
  </sheetViews>
  <sheetFormatPr defaultRowHeight="15" outlineLevelCol="1" x14ac:dyDescent="0.25"/>
  <cols>
    <col min="2" max="2" width="8.5703125" hidden="1" customWidth="1"/>
    <col min="3" max="3" width="9" hidden="1" customWidth="1"/>
    <col min="4" max="4" width="4.28515625" customWidth="1"/>
    <col min="5" max="5" width="11.42578125" customWidth="1"/>
    <col min="6" max="6" width="25.7109375" customWidth="1"/>
    <col min="7" max="7" width="1.42578125" customWidth="1"/>
    <col min="8" max="9" width="11.42578125" customWidth="1"/>
    <col min="10" max="11" width="11.42578125" customWidth="1" outlineLevel="1"/>
    <col min="12" max="12" width="4.42578125" customWidth="1" outlineLevel="1"/>
    <col min="13" max="13" width="6.85546875" customWidth="1" outlineLevel="1"/>
    <col min="14" max="16" width="11.42578125" customWidth="1" outlineLevel="1"/>
    <col min="17" max="20" width="11.42578125" customWidth="1"/>
    <col min="21" max="68" width="5.7109375" customWidth="1"/>
  </cols>
  <sheetData>
    <row r="1" spans="1:6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s="47" customFormat="1" ht="36" x14ac:dyDescent="0.55000000000000004">
      <c r="A2" s="42"/>
      <c r="B2" s="46"/>
      <c r="C2" s="42"/>
      <c r="D2" s="42"/>
      <c r="E2" s="49" t="s">
        <v>36</v>
      </c>
      <c r="F2" s="49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8" t="s">
        <v>37</v>
      </c>
      <c r="V2" s="48"/>
      <c r="W2" s="48"/>
      <c r="X2" s="48"/>
      <c r="Y2" s="50" cm="1">
        <f t="array" aca="1" ref="Y2" ca="1">project_start</f>
        <v>45929</v>
      </c>
      <c r="Z2" s="50"/>
      <c r="AA2" s="50"/>
      <c r="AB2" s="51" t="s">
        <v>38</v>
      </c>
      <c r="AC2" s="50" cm="1">
        <f t="array" aca="1" ref="AC2" ca="1">project_end</f>
        <v>45929</v>
      </c>
      <c r="AD2" s="50"/>
      <c r="AE2" s="50"/>
      <c r="AF2" s="52" t="str" cm="1">
        <f t="array" aca="1" ref="AF2" ca="1">"(" &amp; 1+_xlfn.DAYS(project_end,project_start) &amp; ")"</f>
        <v>(1)</v>
      </c>
      <c r="AG2" s="5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</row>
    <row r="3" spans="1:6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5" spans="1:68" x14ac:dyDescent="0.25">
      <c r="U5" s="35" t="s">
        <v>20</v>
      </c>
      <c r="V5" s="36"/>
      <c r="W5" s="37"/>
      <c r="AA5" s="35" t="s">
        <v>21</v>
      </c>
      <c r="AB5" s="36"/>
      <c r="AC5" s="37"/>
      <c r="AG5" s="35" t="s">
        <v>34</v>
      </c>
      <c r="AH5" s="36"/>
      <c r="AI5" s="37"/>
    </row>
    <row r="6" spans="1:68" x14ac:dyDescent="0.25">
      <c r="U6" s="38" t="s">
        <v>33</v>
      </c>
      <c r="V6" s="39"/>
      <c r="W6" s="40"/>
      <c r="AA6" s="38" t="s">
        <v>32</v>
      </c>
      <c r="AB6" s="39"/>
      <c r="AC6" s="40"/>
      <c r="AG6" s="43" t="s">
        <v>35</v>
      </c>
      <c r="AH6" s="44"/>
      <c r="AI6" s="45"/>
    </row>
    <row r="9" spans="1:68" ht="3.75" customHeight="1" x14ac:dyDescent="0.25"/>
    <row r="10" spans="1:68" ht="15.75" x14ac:dyDescent="0.25">
      <c r="T10" s="41"/>
      <c r="U10" s="14" t="str">
        <f ca="1">U11</f>
        <v/>
      </c>
      <c r="V10" s="14" t="str">
        <f t="shared" ref="V10:AA10" ca="1" si="0">V11</f>
        <v/>
      </c>
      <c r="W10" s="14" t="str">
        <f t="shared" ca="1" si="0"/>
        <v/>
      </c>
      <c r="X10" s="14">
        <f t="shared" ca="1" si="0"/>
        <v>45932</v>
      </c>
      <c r="Y10" s="14" t="str">
        <f t="shared" ca="1" si="0"/>
        <v/>
      </c>
      <c r="Z10" s="14" t="str">
        <f t="shared" ca="1" si="0"/>
        <v/>
      </c>
      <c r="AA10" s="14" t="str">
        <f t="shared" ca="1" si="0"/>
        <v/>
      </c>
      <c r="AB10" s="14" t="str">
        <f t="shared" ref="AB10:BP10" ca="1" si="1">AB11</f>
        <v/>
      </c>
      <c r="AC10" s="14" t="str">
        <f t="shared" ca="1" si="1"/>
        <v/>
      </c>
      <c r="AD10" s="14" t="str">
        <f t="shared" ca="1" si="1"/>
        <v/>
      </c>
      <c r="AE10" s="14">
        <f t="shared" ca="1" si="1"/>
        <v>45939</v>
      </c>
      <c r="AF10" s="14" t="str">
        <f t="shared" ca="1" si="1"/>
        <v/>
      </c>
      <c r="AG10" s="14" t="str">
        <f t="shared" ca="1" si="1"/>
        <v/>
      </c>
      <c r="AH10" s="14" t="str">
        <f t="shared" ca="1" si="1"/>
        <v/>
      </c>
      <c r="AI10" s="14" t="str">
        <f t="shared" ca="1" si="1"/>
        <v/>
      </c>
      <c r="AJ10" s="14" t="str">
        <f t="shared" ca="1" si="1"/>
        <v/>
      </c>
      <c r="AK10" s="14" t="str">
        <f t="shared" ca="1" si="1"/>
        <v/>
      </c>
      <c r="AL10" s="14">
        <f t="shared" ca="1" si="1"/>
        <v>45946</v>
      </c>
      <c r="AM10" s="14" t="str">
        <f t="shared" ca="1" si="1"/>
        <v/>
      </c>
      <c r="AN10" s="14" t="str">
        <f t="shared" ca="1" si="1"/>
        <v/>
      </c>
      <c r="AO10" s="14" t="str">
        <f t="shared" ca="1" si="1"/>
        <v/>
      </c>
      <c r="AP10" s="14" t="str">
        <f t="shared" ca="1" si="1"/>
        <v/>
      </c>
      <c r="AQ10" s="14" t="str">
        <f t="shared" ca="1" si="1"/>
        <v/>
      </c>
      <c r="AR10" s="14" t="str">
        <f t="shared" ca="1" si="1"/>
        <v/>
      </c>
      <c r="AS10" s="14">
        <f t="shared" ca="1" si="1"/>
        <v>45953</v>
      </c>
      <c r="AT10" s="14" t="str">
        <f t="shared" ca="1" si="1"/>
        <v/>
      </c>
      <c r="AU10" s="14" t="str">
        <f t="shared" ca="1" si="1"/>
        <v/>
      </c>
      <c r="AV10" s="14" t="str">
        <f t="shared" ca="1" si="1"/>
        <v/>
      </c>
      <c r="AW10" s="14" t="str">
        <f t="shared" ca="1" si="1"/>
        <v/>
      </c>
      <c r="AX10" s="14" t="str">
        <f t="shared" ca="1" si="1"/>
        <v/>
      </c>
      <c r="AY10" s="14" t="str">
        <f t="shared" ca="1" si="1"/>
        <v/>
      </c>
      <c r="AZ10" s="14">
        <f t="shared" ca="1" si="1"/>
        <v>45960</v>
      </c>
      <c r="BA10" s="14" t="str">
        <f t="shared" ca="1" si="1"/>
        <v/>
      </c>
      <c r="BB10" s="14" t="str">
        <f t="shared" ca="1" si="1"/>
        <v/>
      </c>
      <c r="BC10" s="14" t="str">
        <f t="shared" ca="1" si="1"/>
        <v/>
      </c>
      <c r="BD10" s="14" t="str">
        <f t="shared" ca="1" si="1"/>
        <v/>
      </c>
      <c r="BE10" s="14" t="str">
        <f t="shared" ca="1" si="1"/>
        <v/>
      </c>
      <c r="BF10" s="14" t="str">
        <f t="shared" ca="1" si="1"/>
        <v/>
      </c>
      <c r="BG10" s="14">
        <f t="shared" ca="1" si="1"/>
        <v>45967</v>
      </c>
      <c r="BH10" s="14" t="str">
        <f t="shared" ca="1" si="1"/>
        <v/>
      </c>
      <c r="BI10" s="14" t="str">
        <f t="shared" ca="1" si="1"/>
        <v/>
      </c>
      <c r="BJ10" s="14" t="str">
        <f t="shared" ca="1" si="1"/>
        <v/>
      </c>
      <c r="BK10" s="14" t="str">
        <f t="shared" ca="1" si="1"/>
        <v/>
      </c>
      <c r="BL10" s="14" t="str">
        <f t="shared" ca="1" si="1"/>
        <v/>
      </c>
      <c r="BM10" s="14" t="str">
        <f t="shared" ca="1" si="1"/>
        <v/>
      </c>
      <c r="BN10" s="14">
        <f t="shared" ca="1" si="1"/>
        <v>45974</v>
      </c>
      <c r="BO10" s="14" t="str">
        <f t="shared" ca="1" si="1"/>
        <v/>
      </c>
      <c r="BP10" s="14" t="str">
        <f t="shared" ca="1" si="1"/>
        <v/>
      </c>
    </row>
    <row r="11" spans="1:68" ht="15.75" x14ac:dyDescent="0.25">
      <c r="T11" s="34">
        <v>0</v>
      </c>
      <c r="U11" s="3" t="str">
        <f ca="1">IF(WEEKDAY(U12,2)=4,U12,"")</f>
        <v/>
      </c>
      <c r="V11" s="3" t="str">
        <f t="shared" ref="V11:AA11" ca="1" si="2">IF(WEEKDAY(V12,2)=4,V12,"")</f>
        <v/>
      </c>
      <c r="W11" s="3" t="str">
        <f t="shared" ca="1" si="2"/>
        <v/>
      </c>
      <c r="X11" s="3">
        <f t="shared" ca="1" si="2"/>
        <v>45932</v>
      </c>
      <c r="Y11" s="3" t="str">
        <f t="shared" ca="1" si="2"/>
        <v/>
      </c>
      <c r="Z11" s="3" t="str">
        <f ca="1">IF(WEEKDAY(Z12,2)=4,Z12,"")</f>
        <v/>
      </c>
      <c r="AA11" s="3" t="str">
        <f t="shared" ca="1" si="2"/>
        <v/>
      </c>
      <c r="AB11" s="3" t="str">
        <f t="shared" ref="AB11:BP11" ca="1" si="3">IF(WEEKDAY(AB12,2)=4,AB12,"")</f>
        <v/>
      </c>
      <c r="AC11" s="3" t="str">
        <f t="shared" ca="1" si="3"/>
        <v/>
      </c>
      <c r="AD11" s="3" t="str">
        <f t="shared" ca="1" si="3"/>
        <v/>
      </c>
      <c r="AE11" s="3">
        <f t="shared" ca="1" si="3"/>
        <v>45939</v>
      </c>
      <c r="AF11" s="3" t="str">
        <f t="shared" ca="1" si="3"/>
        <v/>
      </c>
      <c r="AG11" s="3" t="str">
        <f t="shared" ca="1" si="3"/>
        <v/>
      </c>
      <c r="AH11" s="3" t="str">
        <f t="shared" ca="1" si="3"/>
        <v/>
      </c>
      <c r="AI11" s="3" t="str">
        <f t="shared" ca="1" si="3"/>
        <v/>
      </c>
      <c r="AJ11" s="3" t="str">
        <f t="shared" ca="1" si="3"/>
        <v/>
      </c>
      <c r="AK11" s="3" t="str">
        <f t="shared" ca="1" si="3"/>
        <v/>
      </c>
      <c r="AL11" s="3">
        <f t="shared" ca="1" si="3"/>
        <v>45946</v>
      </c>
      <c r="AM11" s="3" t="str">
        <f t="shared" ca="1" si="3"/>
        <v/>
      </c>
      <c r="AN11" s="3" t="str">
        <f t="shared" ca="1" si="3"/>
        <v/>
      </c>
      <c r="AO11" s="3" t="str">
        <f t="shared" ca="1" si="3"/>
        <v/>
      </c>
      <c r="AP11" s="3" t="str">
        <f t="shared" ca="1" si="3"/>
        <v/>
      </c>
      <c r="AQ11" s="3" t="str">
        <f t="shared" ca="1" si="3"/>
        <v/>
      </c>
      <c r="AR11" s="3" t="str">
        <f t="shared" ca="1" si="3"/>
        <v/>
      </c>
      <c r="AS11" s="3">
        <f t="shared" ca="1" si="3"/>
        <v>45953</v>
      </c>
      <c r="AT11" s="3" t="str">
        <f t="shared" ca="1" si="3"/>
        <v/>
      </c>
      <c r="AU11" s="3" t="str">
        <f t="shared" ca="1" si="3"/>
        <v/>
      </c>
      <c r="AV11" s="3" t="str">
        <f t="shared" ca="1" si="3"/>
        <v/>
      </c>
      <c r="AW11" s="3" t="str">
        <f t="shared" ca="1" si="3"/>
        <v/>
      </c>
      <c r="AX11" s="3" t="str">
        <f t="shared" ca="1" si="3"/>
        <v/>
      </c>
      <c r="AY11" s="3" t="str">
        <f t="shared" ca="1" si="3"/>
        <v/>
      </c>
      <c r="AZ11" s="3">
        <f t="shared" ca="1" si="3"/>
        <v>45960</v>
      </c>
      <c r="BA11" s="3" t="str">
        <f t="shared" ca="1" si="3"/>
        <v/>
      </c>
      <c r="BB11" s="3" t="str">
        <f t="shared" ca="1" si="3"/>
        <v/>
      </c>
      <c r="BC11" s="3" t="str">
        <f t="shared" ca="1" si="3"/>
        <v/>
      </c>
      <c r="BD11" s="3" t="str">
        <f t="shared" ca="1" si="3"/>
        <v/>
      </c>
      <c r="BE11" s="3" t="str">
        <f t="shared" ca="1" si="3"/>
        <v/>
      </c>
      <c r="BF11" s="3" t="str">
        <f t="shared" ca="1" si="3"/>
        <v/>
      </c>
      <c r="BG11" s="3">
        <f t="shared" ca="1" si="3"/>
        <v>45967</v>
      </c>
      <c r="BH11" s="3" t="str">
        <f t="shared" ca="1" si="3"/>
        <v/>
      </c>
      <c r="BI11" s="3" t="str">
        <f t="shared" ca="1" si="3"/>
        <v/>
      </c>
      <c r="BJ11" s="3" t="str">
        <f t="shared" ca="1" si="3"/>
        <v/>
      </c>
      <c r="BK11" s="3" t="str">
        <f t="shared" ca="1" si="3"/>
        <v/>
      </c>
      <c r="BL11" s="3" t="str">
        <f t="shared" ca="1" si="3"/>
        <v/>
      </c>
      <c r="BM11" s="3" t="str">
        <f t="shared" ca="1" si="3"/>
        <v/>
      </c>
      <c r="BN11" s="3">
        <f t="shared" ca="1" si="3"/>
        <v>45974</v>
      </c>
      <c r="BO11" s="3" t="str">
        <f t="shared" ca="1" si="3"/>
        <v/>
      </c>
      <c r="BP11" s="3" t="str">
        <f t="shared" ca="1" si="3"/>
        <v/>
      </c>
    </row>
    <row r="12" spans="1:68" s="2" customFormat="1" ht="26.25" customHeight="1" x14ac:dyDescent="0.25">
      <c r="T12" s="34" t="s">
        <v>35</v>
      </c>
      <c r="U12" s="4" cm="1">
        <f t="array" aca="1" ref="U12" ca="1">timeline_plan_start+scroll_increment</f>
        <v>45929</v>
      </c>
      <c r="V12" s="4">
        <f t="shared" ref="V12:AA12" ca="1" si="4">U12+1</f>
        <v>45930</v>
      </c>
      <c r="W12" s="4">
        <f t="shared" ca="1" si="4"/>
        <v>45931</v>
      </c>
      <c r="X12" s="4">
        <f t="shared" ca="1" si="4"/>
        <v>45932</v>
      </c>
      <c r="Y12" s="4">
        <f t="shared" ca="1" si="4"/>
        <v>45933</v>
      </c>
      <c r="Z12" s="4">
        <f t="shared" ca="1" si="4"/>
        <v>45934</v>
      </c>
      <c r="AA12" s="4">
        <f t="shared" ca="1" si="4"/>
        <v>45935</v>
      </c>
      <c r="AB12" s="4">
        <f t="shared" ref="AB12:AV12" ca="1" si="5">AA12+1</f>
        <v>45936</v>
      </c>
      <c r="AC12" s="4">
        <f t="shared" ca="1" si="5"/>
        <v>45937</v>
      </c>
      <c r="AD12" s="4">
        <f t="shared" ca="1" si="5"/>
        <v>45938</v>
      </c>
      <c r="AE12" s="4">
        <f t="shared" ca="1" si="5"/>
        <v>45939</v>
      </c>
      <c r="AF12" s="4">
        <f t="shared" ca="1" si="5"/>
        <v>45940</v>
      </c>
      <c r="AG12" s="4">
        <f t="shared" ca="1" si="5"/>
        <v>45941</v>
      </c>
      <c r="AH12" s="4">
        <f t="shared" ca="1" si="5"/>
        <v>45942</v>
      </c>
      <c r="AI12" s="4">
        <f t="shared" ca="1" si="5"/>
        <v>45943</v>
      </c>
      <c r="AJ12" s="4">
        <f t="shared" ca="1" si="5"/>
        <v>45944</v>
      </c>
      <c r="AK12" s="4">
        <f t="shared" ca="1" si="5"/>
        <v>45945</v>
      </c>
      <c r="AL12" s="4">
        <f t="shared" ca="1" si="5"/>
        <v>45946</v>
      </c>
      <c r="AM12" s="4">
        <f t="shared" ca="1" si="5"/>
        <v>45947</v>
      </c>
      <c r="AN12" s="4">
        <f t="shared" ca="1" si="5"/>
        <v>45948</v>
      </c>
      <c r="AO12" s="4">
        <f t="shared" ca="1" si="5"/>
        <v>45949</v>
      </c>
      <c r="AP12" s="4">
        <f t="shared" ca="1" si="5"/>
        <v>45950</v>
      </c>
      <c r="AQ12" s="4">
        <f t="shared" ca="1" si="5"/>
        <v>45951</v>
      </c>
      <c r="AR12" s="4">
        <f t="shared" ca="1" si="5"/>
        <v>45952</v>
      </c>
      <c r="AS12" s="4">
        <f t="shared" ca="1" si="5"/>
        <v>45953</v>
      </c>
      <c r="AT12" s="4">
        <f t="shared" ca="1" si="5"/>
        <v>45954</v>
      </c>
      <c r="AU12" s="4">
        <f t="shared" ca="1" si="5"/>
        <v>45955</v>
      </c>
      <c r="AV12" s="4">
        <f t="shared" ca="1" si="5"/>
        <v>45956</v>
      </c>
      <c r="AW12" s="4">
        <f t="shared" ref="AW12:BM12" ca="1" si="6">AV12+1</f>
        <v>45957</v>
      </c>
      <c r="AX12" s="4">
        <f t="shared" ca="1" si="6"/>
        <v>45958</v>
      </c>
      <c r="AY12" s="4">
        <f t="shared" ca="1" si="6"/>
        <v>45959</v>
      </c>
      <c r="AZ12" s="4">
        <f t="shared" ca="1" si="6"/>
        <v>45960</v>
      </c>
      <c r="BA12" s="4">
        <f t="shared" ca="1" si="6"/>
        <v>45961</v>
      </c>
      <c r="BB12" s="4">
        <f t="shared" ca="1" si="6"/>
        <v>45962</v>
      </c>
      <c r="BC12" s="4">
        <f t="shared" ca="1" si="6"/>
        <v>45963</v>
      </c>
      <c r="BD12" s="4">
        <f t="shared" ca="1" si="6"/>
        <v>45964</v>
      </c>
      <c r="BE12" s="4">
        <f t="shared" ca="1" si="6"/>
        <v>45965</v>
      </c>
      <c r="BF12" s="4">
        <f t="shared" ca="1" si="6"/>
        <v>45966</v>
      </c>
      <c r="BG12" s="4">
        <f t="shared" ca="1" si="6"/>
        <v>45967</v>
      </c>
      <c r="BH12" s="4">
        <f t="shared" ca="1" si="6"/>
        <v>45968</v>
      </c>
      <c r="BI12" s="4">
        <f t="shared" ca="1" si="6"/>
        <v>45969</v>
      </c>
      <c r="BJ12" s="4">
        <f t="shared" ca="1" si="6"/>
        <v>45970</v>
      </c>
      <c r="BK12" s="4">
        <f t="shared" ca="1" si="6"/>
        <v>45971</v>
      </c>
      <c r="BL12" s="4">
        <f t="shared" ca="1" si="6"/>
        <v>45972</v>
      </c>
      <c r="BM12" s="4">
        <f t="shared" ca="1" si="6"/>
        <v>45973</v>
      </c>
      <c r="BN12" s="4">
        <f ca="1">BM12+1</f>
        <v>45974</v>
      </c>
      <c r="BO12" s="4">
        <f ca="1">BN12+1</f>
        <v>45975</v>
      </c>
      <c r="BP12" s="4">
        <f ca="1">BO12+1</f>
        <v>45976</v>
      </c>
    </row>
    <row r="13" spans="1:68" s="2" customFormat="1" ht="26.25" customHeight="1" x14ac:dyDescent="0.25">
      <c r="B13" s="6" t="s">
        <v>19</v>
      </c>
      <c r="C13" s="7" t="s">
        <v>18</v>
      </c>
      <c r="D13" s="8" t="s">
        <v>0</v>
      </c>
      <c r="E13" s="9" t="s">
        <v>39</v>
      </c>
      <c r="F13" s="53" t="s">
        <v>40</v>
      </c>
      <c r="G13" s="7"/>
      <c r="H13" s="10" t="s">
        <v>41</v>
      </c>
      <c r="I13" s="11" t="s">
        <v>42</v>
      </c>
      <c r="J13" s="9" t="s">
        <v>43</v>
      </c>
      <c r="K13" s="11" t="s">
        <v>44</v>
      </c>
      <c r="L13" s="9" t="s">
        <v>3</v>
      </c>
      <c r="M13" s="10" t="s">
        <v>4</v>
      </c>
      <c r="N13" s="10"/>
      <c r="O13" s="10" t="s">
        <v>5</v>
      </c>
      <c r="P13" s="11" t="s">
        <v>6</v>
      </c>
      <c r="Q13" s="12" t="s">
        <v>7</v>
      </c>
      <c r="R13" s="6" t="s">
        <v>1</v>
      </c>
      <c r="S13" s="8" t="s">
        <v>2</v>
      </c>
      <c r="T13" s="13" t="s">
        <v>8</v>
      </c>
      <c r="U13" s="5" t="str">
        <f ca="1">LEFT(TEXT(U12,"ddd"),1)</f>
        <v>M</v>
      </c>
      <c r="V13" s="5" t="str">
        <f t="shared" ref="V13:AA13" ca="1" si="7">LEFT(TEXT(V12,"ddd"),1)</f>
        <v>T</v>
      </c>
      <c r="W13" s="5" t="str">
        <f t="shared" ca="1" si="7"/>
        <v>W</v>
      </c>
      <c r="X13" s="5" t="str">
        <f t="shared" ca="1" si="7"/>
        <v>T</v>
      </c>
      <c r="Y13" s="5" t="str">
        <f t="shared" ca="1" si="7"/>
        <v>F</v>
      </c>
      <c r="Z13" s="5" t="str">
        <f t="shared" ca="1" si="7"/>
        <v>S</v>
      </c>
      <c r="AA13" s="5" t="str">
        <f t="shared" ca="1" si="7"/>
        <v>S</v>
      </c>
      <c r="AB13" s="5" t="str">
        <f t="shared" ref="AB13:BP13" ca="1" si="8">LEFT(TEXT(AB12,"ddd"),1)</f>
        <v>M</v>
      </c>
      <c r="AC13" s="5" t="str">
        <f t="shared" ca="1" si="8"/>
        <v>T</v>
      </c>
      <c r="AD13" s="5" t="str">
        <f t="shared" ca="1" si="8"/>
        <v>W</v>
      </c>
      <c r="AE13" s="5" t="str">
        <f t="shared" ca="1" si="8"/>
        <v>T</v>
      </c>
      <c r="AF13" s="5" t="str">
        <f t="shared" ca="1" si="8"/>
        <v>F</v>
      </c>
      <c r="AG13" s="5" t="str">
        <f t="shared" ca="1" si="8"/>
        <v>S</v>
      </c>
      <c r="AH13" s="5" t="str">
        <f t="shared" ca="1" si="8"/>
        <v>S</v>
      </c>
      <c r="AI13" s="5" t="str">
        <f t="shared" ca="1" si="8"/>
        <v>M</v>
      </c>
      <c r="AJ13" s="5" t="str">
        <f t="shared" ca="1" si="8"/>
        <v>T</v>
      </c>
      <c r="AK13" s="5" t="str">
        <f t="shared" ca="1" si="8"/>
        <v>W</v>
      </c>
      <c r="AL13" s="5" t="str">
        <f t="shared" ca="1" si="8"/>
        <v>T</v>
      </c>
      <c r="AM13" s="5" t="str">
        <f t="shared" ca="1" si="8"/>
        <v>F</v>
      </c>
      <c r="AN13" s="5" t="str">
        <f t="shared" ca="1" si="8"/>
        <v>S</v>
      </c>
      <c r="AO13" s="5" t="str">
        <f t="shared" ca="1" si="8"/>
        <v>S</v>
      </c>
      <c r="AP13" s="5" t="str">
        <f t="shared" ca="1" si="8"/>
        <v>M</v>
      </c>
      <c r="AQ13" s="5" t="str">
        <f t="shared" ca="1" si="8"/>
        <v>T</v>
      </c>
      <c r="AR13" s="5" t="str">
        <f t="shared" ca="1" si="8"/>
        <v>W</v>
      </c>
      <c r="AS13" s="5" t="str">
        <f t="shared" ca="1" si="8"/>
        <v>T</v>
      </c>
      <c r="AT13" s="5" t="str">
        <f t="shared" ca="1" si="8"/>
        <v>F</v>
      </c>
      <c r="AU13" s="5" t="str">
        <f t="shared" ca="1" si="8"/>
        <v>S</v>
      </c>
      <c r="AV13" s="5" t="str">
        <f t="shared" ca="1" si="8"/>
        <v>S</v>
      </c>
      <c r="AW13" s="5" t="str">
        <f t="shared" ca="1" si="8"/>
        <v>M</v>
      </c>
      <c r="AX13" s="5" t="str">
        <f t="shared" ca="1" si="8"/>
        <v>T</v>
      </c>
      <c r="AY13" s="5" t="str">
        <f t="shared" ca="1" si="8"/>
        <v>W</v>
      </c>
      <c r="AZ13" s="5" t="str">
        <f t="shared" ca="1" si="8"/>
        <v>T</v>
      </c>
      <c r="BA13" s="5" t="str">
        <f t="shared" ca="1" si="8"/>
        <v>F</v>
      </c>
      <c r="BB13" s="5" t="str">
        <f t="shared" ca="1" si="8"/>
        <v>S</v>
      </c>
      <c r="BC13" s="5" t="str">
        <f t="shared" ca="1" si="8"/>
        <v>S</v>
      </c>
      <c r="BD13" s="5" t="str">
        <f t="shared" ca="1" si="8"/>
        <v>M</v>
      </c>
      <c r="BE13" s="5" t="str">
        <f t="shared" ca="1" si="8"/>
        <v>T</v>
      </c>
      <c r="BF13" s="5" t="str">
        <f t="shared" ca="1" si="8"/>
        <v>W</v>
      </c>
      <c r="BG13" s="5" t="str">
        <f t="shared" ca="1" si="8"/>
        <v>T</v>
      </c>
      <c r="BH13" s="5" t="str">
        <f t="shared" ca="1" si="8"/>
        <v>F</v>
      </c>
      <c r="BI13" s="5" t="str">
        <f t="shared" ca="1" si="8"/>
        <v>S</v>
      </c>
      <c r="BJ13" s="5" t="str">
        <f t="shared" ca="1" si="8"/>
        <v>S</v>
      </c>
      <c r="BK13" s="5" t="str">
        <f t="shared" ca="1" si="8"/>
        <v>M</v>
      </c>
      <c r="BL13" s="5" t="str">
        <f t="shared" ca="1" si="8"/>
        <v>T</v>
      </c>
      <c r="BM13" s="5" t="str">
        <f t="shared" ca="1" si="8"/>
        <v>W</v>
      </c>
      <c r="BN13" s="5" t="str">
        <f t="shared" ca="1" si="8"/>
        <v>T</v>
      </c>
      <c r="BO13" s="5" t="str">
        <f t="shared" ca="1" si="8"/>
        <v>F</v>
      </c>
      <c r="BP13" s="5" t="str">
        <f t="shared" ca="1" si="8"/>
        <v>S</v>
      </c>
    </row>
    <row r="14" spans="1:68" ht="3.75" customHeight="1" x14ac:dyDescent="0.25">
      <c r="B14" s="15"/>
      <c r="C14" s="16"/>
      <c r="D14" s="17"/>
      <c r="E14" s="15"/>
      <c r="F14" s="16"/>
      <c r="H14" s="16"/>
      <c r="I14" s="17"/>
      <c r="J14" s="15"/>
      <c r="K14" s="17"/>
      <c r="L14" s="15"/>
      <c r="M14" s="16"/>
      <c r="N14" s="16"/>
      <c r="O14" s="16"/>
      <c r="P14" s="17"/>
      <c r="Q14" s="18"/>
      <c r="R14" s="15"/>
      <c r="S14" s="17"/>
      <c r="T14" s="18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</row>
    <row r="15" spans="1:68" ht="15.75" x14ac:dyDescent="0.25">
      <c r="B15" s="22">
        <f>_xlfn.IFNA(IF(OR(type="T",type="M"), MATCH(team,Settings!$C$8:$C$15,0),-1), -1)</f>
        <v>-1</v>
      </c>
      <c r="C15" s="26">
        <v>5</v>
      </c>
      <c r="D15" s="28">
        <f t="shared" ref="D15:D47" si="9">IF(ROW(id)=ROW($D$13)+2,1,MAX(prev_col_range)+1)</f>
        <v>1</v>
      </c>
      <c r="E15" s="22" t="s">
        <v>22</v>
      </c>
      <c r="F15" s="21" t="s">
        <v>25</v>
      </c>
      <c r="H15" s="23"/>
      <c r="I15" s="32"/>
      <c r="J15" s="25">
        <f ca="1">MIN(R16:R19)</f>
        <v>45929</v>
      </c>
      <c r="K15" s="33"/>
      <c r="L15" s="22"/>
      <c r="M15" s="29" t="str">
        <f t="shared" ref="M15:M47" si="10">IF(d.id&lt;&gt;"",IF(d.id&lt;id,"⬉",IF(d.id&gt;id,"⬋","")),"")</f>
        <v/>
      </c>
      <c r="N15" s="29" t="str" cm="1">
        <f t="array" ref="N15">IFERROR("(" &amp; d.type &amp; ") " &amp; IF(LEN(d.name)&gt;10, LEFT(d.name,10) &amp; "…",d.name ),"")</f>
        <v/>
      </c>
      <c r="O15" s="26" t="s">
        <v>30</v>
      </c>
      <c r="P15" s="24"/>
      <c r="Q15" s="27">
        <f ca="1">ABS(_xlfn.DAYS(plan_start,MAX(S16:S19)+1))</f>
        <v>1</v>
      </c>
      <c r="R15" s="25" cm="1">
        <f t="array" aca="1" ref="R15" ca="1">IFERROR(IF(ind.start&gt;0,ind.start,
    IF(ind.end&lt;&gt;"",plan_start_calculation,
        IF(d.id&lt;&gt;"",
           IF(OR(d.conn="FS",d.conn=""),fs_calculation,
           IF(d.conn="SS",ss_calculation,
           plan_start_calculation)),"")
)),"")</f>
        <v>45929</v>
      </c>
      <c r="S15" s="33" cm="1">
        <f t="array" aca="1" ref="S15" ca="1">IFERROR(IF(ind.start&lt;&gt;"",plan_end_calculation,
    IF(ind.end&lt;&gt;"",ind.end,
        IF(d.id&lt;&gt;"",
           IF(d.conn="SF",sf_calculation,
           IF(d.conn="FF",ff_calculation,
           plan_end_calculation)),"")
)),"")</f>
        <v>45929</v>
      </c>
      <c r="T15" s="30" cm="1">
        <f t="array" ref="T15">SUM(T16:T19*Q16:Q19/SUM(Q16:Q19))</f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</row>
    <row r="16" spans="1:68" ht="15.75" x14ac:dyDescent="0.25">
      <c r="B16" s="22">
        <f>_xlfn.IFNA(IF(OR(type="T",type="M"), MATCH(team,Settings!$C$8:$C$15,0),-1), -1)</f>
        <v>-1</v>
      </c>
      <c r="C16" s="26">
        <f>IF(type&lt;&gt;"",IF(ROW(stage_id)=ROW($C$13)+2,1,IF(type="P",MAX(prev_col_range)+1,MAX(prev_col_range))),-1)</f>
        <v>5</v>
      </c>
      <c r="D16" s="28">
        <f t="shared" si="9"/>
        <v>2</v>
      </c>
      <c r="E16" s="22" t="s">
        <v>23</v>
      </c>
      <c r="F16" s="21" t="s">
        <v>26</v>
      </c>
      <c r="H16" s="23"/>
      <c r="I16" s="32"/>
      <c r="J16" s="25">
        <f ca="1">TODAY()</f>
        <v>45929</v>
      </c>
      <c r="K16" s="33"/>
      <c r="L16" s="22"/>
      <c r="M16" s="29" t="str">
        <f t="shared" si="10"/>
        <v/>
      </c>
      <c r="N16" s="29" t="str" cm="1">
        <f t="array" ref="N16">IFERROR("(" &amp; d.type &amp; ") " &amp; IF(LEN(d.name)&gt;10, LEFT(d.name,10) &amp; "…",d.name ),"")</f>
        <v/>
      </c>
      <c r="O16" s="26" t="s">
        <v>30</v>
      </c>
      <c r="P16" s="24"/>
      <c r="Q16" s="27">
        <v>1</v>
      </c>
      <c r="R16" s="25" cm="1">
        <f t="array" aca="1" ref="R16" ca="1">IFERROR(IF(ind.start&gt;0,ind.start,
    IF(ind.end&lt;&gt;"",plan_start_calculation,
        IF(d.id&lt;&gt;"",
           IF(OR(d.conn="FS",d.conn=""),fs_calculation,
           IF(d.conn="SS",ss_calculation,
           plan_start_calculation)),"")
)),"")</f>
        <v>45929</v>
      </c>
      <c r="S16" s="33" cm="1">
        <f t="array" aca="1" ref="S16" ca="1">IFERROR(IF(ind.start&lt;&gt;"",plan_end_calculation,
    IF(ind.end&lt;&gt;"",ind.end,
        IF(d.id&lt;&gt;"",
           IF(d.conn="SF",sf_calculation,
           IF(d.conn="FF",ff_calculation,
           plan_end_calculation)),"")
)),"")</f>
        <v>45929</v>
      </c>
      <c r="T16" s="30"/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</row>
    <row r="17" spans="2:68" ht="15.75" x14ac:dyDescent="0.25">
      <c r="B17" s="22">
        <f>_xlfn.IFNA(IF(OR(type="T",type="M"), MATCH(team,Settings!$C$8:$C$15,0),-1), -1)</f>
        <v>-1</v>
      </c>
      <c r="C17" s="26">
        <f>IF(type&lt;&gt;"",IF(ROW(stage_id)=ROW($C$13)+2,1,IF(type="P",MAX(prev_col_range)+1,MAX(prev_col_range))),-1)</f>
        <v>5</v>
      </c>
      <c r="D17" s="28">
        <f t="shared" si="9"/>
        <v>3</v>
      </c>
      <c r="E17" s="22" t="s">
        <v>23</v>
      </c>
      <c r="F17" s="21" t="s">
        <v>27</v>
      </c>
      <c r="H17" s="23"/>
      <c r="I17" s="32"/>
      <c r="J17" s="25"/>
      <c r="K17" s="33"/>
      <c r="L17" s="22"/>
      <c r="M17" s="29" t="str">
        <f t="shared" si="10"/>
        <v/>
      </c>
      <c r="N17" s="29" t="str" cm="1">
        <f t="array" ref="N17">IFERROR("(" &amp; d.type &amp; ") " &amp; IF(LEN(d.name)&gt;10, LEFT(d.name,10) &amp; "…",d.name ),"")</f>
        <v/>
      </c>
      <c r="O17" s="26" t="s">
        <v>30</v>
      </c>
      <c r="P17" s="24"/>
      <c r="Q17" s="27"/>
      <c r="R17" s="25" t="str" cm="1">
        <f t="array" ref="R17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17" s="33" t="str" cm="1">
        <f t="array" ref="S17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17" s="30"/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</row>
    <row r="18" spans="2:68" ht="15.75" x14ac:dyDescent="0.25">
      <c r="B18" s="22">
        <f>_xlfn.IFNA(IF(OR(type="T",type="M"), MATCH(team,Settings!$C$8:$C$15,0),-1), -1)</f>
        <v>-1</v>
      </c>
      <c r="C18" s="26">
        <f>IF(type&lt;&gt;"",IF(ROW(stage_id)=ROW($C$13)+2,1,IF(type="P",MAX(prev_col_range)+1,MAX(prev_col_range))),-1)</f>
        <v>5</v>
      </c>
      <c r="D18" s="28">
        <f t="shared" si="9"/>
        <v>4</v>
      </c>
      <c r="E18" s="22" t="s">
        <v>23</v>
      </c>
      <c r="F18" s="21" t="s">
        <v>28</v>
      </c>
      <c r="H18" s="23"/>
      <c r="I18" s="32"/>
      <c r="J18" s="25"/>
      <c r="K18" s="33"/>
      <c r="L18" s="22"/>
      <c r="M18" s="29" t="str">
        <f t="shared" si="10"/>
        <v/>
      </c>
      <c r="N18" s="29" t="str" cm="1">
        <f t="array" ref="N18">IFERROR("(" &amp; d.type &amp; ") " &amp; IF(LEN(d.name)&gt;10, LEFT(d.name,10) &amp; "…",d.name ),"")</f>
        <v/>
      </c>
      <c r="O18" s="26" t="s">
        <v>30</v>
      </c>
      <c r="P18" s="24"/>
      <c r="Q18" s="27"/>
      <c r="R18" s="25" t="str" cm="1">
        <f t="array" ref="R18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18" s="33" t="str" cm="1">
        <f t="array" ref="S18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18" s="30"/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</row>
    <row r="19" spans="2:68" ht="15.75" x14ac:dyDescent="0.25">
      <c r="B19" s="22">
        <f>_xlfn.IFNA(IF(OR(type="T",type="M"), MATCH(team,Settings!$C$8:$C$15,0),-1), -1)</f>
        <v>-1</v>
      </c>
      <c r="C19" s="26">
        <f>IF(type&lt;&gt;"",IF(ROW(stage_id)=ROW($C$13)+2,1,IF(type="P",MAX(prev_col_range)+1,MAX(prev_col_range))),-1)</f>
        <v>5</v>
      </c>
      <c r="D19" s="28">
        <f t="shared" si="9"/>
        <v>5</v>
      </c>
      <c r="E19" s="22" t="s">
        <v>24</v>
      </c>
      <c r="F19" s="21" t="s">
        <v>29</v>
      </c>
      <c r="H19" s="23"/>
      <c r="I19" s="32"/>
      <c r="J19" s="25"/>
      <c r="K19" s="33"/>
      <c r="L19" s="22"/>
      <c r="M19" s="29" t="str">
        <f t="shared" si="10"/>
        <v/>
      </c>
      <c r="N19" s="29" t="str" cm="1">
        <f t="array" ref="N19">IFERROR("(" &amp; d.type &amp; ") " &amp; IF(LEN(d.name)&gt;10, LEFT(d.name,10) &amp; "…",d.name ),"")</f>
        <v/>
      </c>
      <c r="O19" s="26" t="s">
        <v>31</v>
      </c>
      <c r="P19" s="24"/>
      <c r="Q19" s="27"/>
      <c r="R19" s="25" t="str" cm="1">
        <f t="array" ref="R19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19" s="33" t="str" cm="1">
        <f t="array" ref="S19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19" s="30">
        <f>1*(SUM(T16:T18)=COUNT(T16:T18))</f>
        <v>1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</row>
    <row r="20" spans="2:68" ht="15.75" x14ac:dyDescent="0.25">
      <c r="B20" s="22">
        <f>_xlfn.IFNA(IF(OR(type="T",type="M"), MATCH(team,Settings!$C$8:$C$15,0),-1), -1)</f>
        <v>-1</v>
      </c>
      <c r="C20" s="26">
        <f>IF(type&lt;&gt;"",IF(ROW(stage_id)=ROW($C$13)+2,1,IF(type="P",MAX(prev_col_range)+1,MAX(prev_col_range))),-1)</f>
        <v>-1</v>
      </c>
      <c r="D20" s="28">
        <f t="shared" si="9"/>
        <v>6</v>
      </c>
      <c r="E20" s="22"/>
      <c r="F20" s="21"/>
      <c r="H20" s="23"/>
      <c r="I20" s="32"/>
      <c r="J20" s="25"/>
      <c r="K20" s="33"/>
      <c r="L20" s="22"/>
      <c r="M20" s="29"/>
      <c r="N20" s="29"/>
      <c r="O20" s="26"/>
      <c r="P20" s="24"/>
      <c r="Q20" s="27"/>
      <c r="R20" s="25"/>
      <c r="S20" s="33"/>
      <c r="T20" s="30"/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</row>
    <row r="21" spans="2:68" ht="15.75" x14ac:dyDescent="0.25">
      <c r="B21" s="22">
        <f>_xlfn.IFNA(IF(OR(type="T",type="M"), MATCH(team,Settings!$C$8:$C$15,0),-1), -1)</f>
        <v>-1</v>
      </c>
      <c r="C21" s="26">
        <f>IF(type&lt;&gt;"",IF(ROW(stage_id)=ROW($C$13)+2,1,IF(type="P",MAX(prev_col_range)+1,MAX(prev_col_range))),-1)</f>
        <v>-1</v>
      </c>
      <c r="D21" s="28">
        <f t="shared" si="9"/>
        <v>7</v>
      </c>
      <c r="E21" s="22"/>
      <c r="F21" s="21"/>
      <c r="H21" s="23"/>
      <c r="I21" s="32"/>
      <c r="J21" s="25"/>
      <c r="K21" s="33"/>
      <c r="L21" s="22"/>
      <c r="M21" s="29"/>
      <c r="N21" s="29"/>
      <c r="O21" s="26"/>
      <c r="P21" s="24"/>
      <c r="Q21" s="27"/>
      <c r="R21" s="25"/>
      <c r="S21" s="33"/>
      <c r="T21" s="30"/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</row>
    <row r="22" spans="2:68" ht="15.75" x14ac:dyDescent="0.25">
      <c r="B22" s="22">
        <f>_xlfn.IFNA(IF(OR(type="T",type="M"), MATCH(team,Settings!$C$8:$C$15,0),-1), -1)</f>
        <v>-1</v>
      </c>
      <c r="C22" s="26">
        <f>IF(type&lt;&gt;"",IF(ROW(stage_id)=ROW($C$13)+2,1,IF(type="P",MAX(prev_col_range)+1,MAX(prev_col_range))),-1)</f>
        <v>-1</v>
      </c>
      <c r="D22" s="28">
        <f t="shared" si="9"/>
        <v>8</v>
      </c>
      <c r="E22" s="22"/>
      <c r="F22" s="21"/>
      <c r="H22" s="23"/>
      <c r="I22" s="32"/>
      <c r="J22" s="25"/>
      <c r="K22" s="33"/>
      <c r="L22" s="22"/>
      <c r="M22" s="29"/>
      <c r="N22" s="29"/>
      <c r="O22" s="26"/>
      <c r="P22" s="24"/>
      <c r="Q22" s="27"/>
      <c r="R22" s="25"/>
      <c r="S22" s="33"/>
      <c r="T22" s="30"/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</row>
    <row r="23" spans="2:68" ht="15.75" x14ac:dyDescent="0.25">
      <c r="B23" s="22">
        <f>_xlfn.IFNA(IF(OR(type="T",type="M"), MATCH(team,Settings!$C$8:$C$15,0),-1), -1)</f>
        <v>-1</v>
      </c>
      <c r="C23" s="26">
        <f>IF(type&lt;&gt;"",IF(ROW(stage_id)=ROW($C$13)+2,1,IF(type="P",MAX(prev_col_range)+1,MAX(prev_col_range))),-1)</f>
        <v>-1</v>
      </c>
      <c r="D23" s="28">
        <f t="shared" si="9"/>
        <v>9</v>
      </c>
      <c r="E23" s="22"/>
      <c r="F23" s="21"/>
      <c r="H23" s="23"/>
      <c r="I23" s="32"/>
      <c r="J23" s="25"/>
      <c r="K23" s="33"/>
      <c r="L23" s="22"/>
      <c r="M23" s="29"/>
      <c r="N23" s="29"/>
      <c r="O23" s="26"/>
      <c r="P23" s="24"/>
      <c r="Q23" s="27"/>
      <c r="R23" s="25"/>
      <c r="S23" s="33"/>
      <c r="T23" s="30"/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</row>
    <row r="24" spans="2:68" ht="15.75" x14ac:dyDescent="0.25">
      <c r="B24" s="22">
        <f>_xlfn.IFNA(IF(OR(type="T",type="M"), MATCH(team,Settings!$C$8:$C$15,0),-1), -1)</f>
        <v>-1</v>
      </c>
      <c r="C24" s="26">
        <f>IF(type&lt;&gt;"",IF(ROW(stage_id)=ROW($C$13)+2,1,IF(type="P",MAX(prev_col_range)+1,MAX(prev_col_range))),-1)</f>
        <v>-1</v>
      </c>
      <c r="D24" s="28">
        <f t="shared" si="9"/>
        <v>10</v>
      </c>
      <c r="E24" s="22"/>
      <c r="F24" s="21"/>
      <c r="H24" s="23"/>
      <c r="I24" s="32"/>
      <c r="J24" s="25"/>
      <c r="K24" s="33"/>
      <c r="L24" s="22"/>
      <c r="M24" s="29"/>
      <c r="N24" s="29"/>
      <c r="O24" s="26"/>
      <c r="P24" s="24"/>
      <c r="Q24" s="27"/>
      <c r="R24" s="25"/>
      <c r="S24" s="33"/>
      <c r="T24" s="30"/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</row>
    <row r="25" spans="2:68" ht="15.75" x14ac:dyDescent="0.25">
      <c r="B25" s="22">
        <f>_xlfn.IFNA(IF(OR(type="T",type="M"), MATCH(team,Settings!$C$8:$C$15,0),-1), -1)</f>
        <v>-1</v>
      </c>
      <c r="C25" s="26">
        <f>IF(type&lt;&gt;"",IF(ROW(stage_id)=ROW($C$13)+2,1,IF(type="P",MAX(prev_col_range)+1,MAX(prev_col_range))),-1)</f>
        <v>-1</v>
      </c>
      <c r="D25" s="28">
        <f t="shared" si="9"/>
        <v>11</v>
      </c>
      <c r="E25" s="22"/>
      <c r="F25" s="21"/>
      <c r="H25" s="23"/>
      <c r="I25" s="32"/>
      <c r="J25" s="25"/>
      <c r="K25" s="33"/>
      <c r="L25" s="22"/>
      <c r="M25" s="29"/>
      <c r="N25" s="29"/>
      <c r="O25" s="26"/>
      <c r="P25" s="24"/>
      <c r="Q25" s="27"/>
      <c r="R25" s="25"/>
      <c r="S25" s="33"/>
      <c r="T25" s="30"/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</row>
    <row r="26" spans="2:68" ht="15.75" x14ac:dyDescent="0.25">
      <c r="B26" s="22">
        <f>_xlfn.IFNA(IF(OR(type="T",type="M"), MATCH(team,Settings!$C$8:$C$15,0),-1), -1)</f>
        <v>-1</v>
      </c>
      <c r="C26" s="26">
        <f>IF(type&lt;&gt;"",IF(ROW(stage_id)=ROW($C$13)+2,1,IF(type="P",MAX(prev_col_range)+1,MAX(prev_col_range))),-1)</f>
        <v>-1</v>
      </c>
      <c r="D26" s="28">
        <f t="shared" si="9"/>
        <v>12</v>
      </c>
      <c r="E26" s="22"/>
      <c r="F26" s="21"/>
      <c r="H26" s="23"/>
      <c r="I26" s="32"/>
      <c r="J26" s="25"/>
      <c r="K26" s="33"/>
      <c r="L26" s="22"/>
      <c r="M26" s="29"/>
      <c r="N26" s="29"/>
      <c r="O26" s="26"/>
      <c r="P26" s="24"/>
      <c r="Q26" s="27"/>
      <c r="R26" s="25"/>
      <c r="S26" s="33"/>
      <c r="T26" s="30"/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</row>
    <row r="27" spans="2:68" ht="15.75" x14ac:dyDescent="0.25">
      <c r="B27" s="22">
        <f>_xlfn.IFNA(IF(OR(type="T",type="M"), MATCH(team,Settings!$C$8:$C$15,0),-1), -1)</f>
        <v>-1</v>
      </c>
      <c r="C27" s="26">
        <f>IF(type&lt;&gt;"",IF(ROW(stage_id)=ROW($C$13)+2,1,IF(type="P",MAX(prev_col_range)+1,MAX(prev_col_range))),-1)</f>
        <v>-1</v>
      </c>
      <c r="D27" s="28">
        <f t="shared" si="9"/>
        <v>13</v>
      </c>
      <c r="E27" s="22"/>
      <c r="F27" s="21"/>
      <c r="H27" s="23"/>
      <c r="I27" s="32"/>
      <c r="J27" s="25"/>
      <c r="K27" s="33"/>
      <c r="L27" s="22"/>
      <c r="M27" s="29"/>
      <c r="N27" s="29"/>
      <c r="O27" s="26"/>
      <c r="P27" s="24"/>
      <c r="Q27" s="27"/>
      <c r="R27" s="25"/>
      <c r="S27" s="33"/>
      <c r="T27" s="30"/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</row>
    <row r="28" spans="2:68" ht="15.75" x14ac:dyDescent="0.25">
      <c r="B28" s="22">
        <f>_xlfn.IFNA(IF(OR(type="T",type="M"), MATCH(team,Settings!$C$8:$C$15,0),-1), -1)</f>
        <v>-1</v>
      </c>
      <c r="C28" s="26">
        <f>IF(type&lt;&gt;"",IF(ROW(stage_id)=ROW($C$13)+2,1,IF(type="P",MAX(prev_col_range)+1,MAX(prev_col_range))),-1)</f>
        <v>-1</v>
      </c>
      <c r="D28" s="28">
        <f t="shared" si="9"/>
        <v>14</v>
      </c>
      <c r="E28" s="22"/>
      <c r="F28" s="21"/>
      <c r="H28" s="23"/>
      <c r="I28" s="32"/>
      <c r="J28" s="25"/>
      <c r="K28" s="33"/>
      <c r="L28" s="22"/>
      <c r="M28" s="29"/>
      <c r="N28" s="29"/>
      <c r="O28" s="26"/>
      <c r="P28" s="24"/>
      <c r="Q28" s="27"/>
      <c r="R28" s="25"/>
      <c r="S28" s="33"/>
      <c r="T28" s="30"/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</row>
    <row r="29" spans="2:68" ht="15.75" x14ac:dyDescent="0.25">
      <c r="B29" s="22">
        <f>_xlfn.IFNA(IF(OR(type="T",type="M"), MATCH(team,Settings!$C$8:$C$15,0),-1), -1)</f>
        <v>-1</v>
      </c>
      <c r="C29" s="26">
        <f>IF(type&lt;&gt;"",IF(ROW(stage_id)=ROW($C$13)+2,1,IF(type="P",MAX(prev_col_range)+1,MAX(prev_col_range))),-1)</f>
        <v>-1</v>
      </c>
      <c r="D29" s="28">
        <f t="shared" si="9"/>
        <v>15</v>
      </c>
      <c r="E29" s="22"/>
      <c r="F29" s="21"/>
      <c r="H29" s="23"/>
      <c r="I29" s="32"/>
      <c r="J29" s="25"/>
      <c r="K29" s="33"/>
      <c r="L29" s="22"/>
      <c r="M29" s="29"/>
      <c r="N29" s="29"/>
      <c r="O29" s="26"/>
      <c r="P29" s="24"/>
      <c r="Q29" s="27"/>
      <c r="R29" s="25"/>
      <c r="S29" s="33"/>
      <c r="T29" s="30"/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</row>
    <row r="30" spans="2:68" ht="15.75" x14ac:dyDescent="0.25">
      <c r="B30" s="22">
        <f>_xlfn.IFNA(IF(OR(type="T",type="M"), MATCH(team,Settings!$C$8:$C$15,0),-1), -1)</f>
        <v>-1</v>
      </c>
      <c r="C30" s="26">
        <f>IF(type&lt;&gt;"",IF(ROW(stage_id)=ROW($C$13)+2,1,IF(type="P",MAX(prev_col_range)+1,MAX(prev_col_range))),-1)</f>
        <v>-1</v>
      </c>
      <c r="D30" s="28">
        <f t="shared" si="9"/>
        <v>16</v>
      </c>
      <c r="E30" s="22"/>
      <c r="F30" s="21"/>
      <c r="H30" s="23"/>
      <c r="I30" s="32"/>
      <c r="J30" s="25"/>
      <c r="K30" s="33"/>
      <c r="L30" s="22"/>
      <c r="M30" s="29"/>
      <c r="N30" s="29"/>
      <c r="O30" s="26"/>
      <c r="P30" s="24"/>
      <c r="Q30" s="27"/>
      <c r="R30" s="25"/>
      <c r="S30" s="33"/>
      <c r="T30" s="30"/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</row>
    <row r="31" spans="2:68" ht="15.75" x14ac:dyDescent="0.25">
      <c r="B31" s="22">
        <f>_xlfn.IFNA(IF(OR(type="T",type="M"), MATCH(team,Settings!$C$8:$C$15,0),-1), -1)</f>
        <v>-1</v>
      </c>
      <c r="C31" s="26">
        <f>IF(type&lt;&gt;"",IF(ROW(stage_id)=ROW($C$13)+2,1,IF(type="P",MAX(prev_col_range)+1,MAX(prev_col_range))),-1)</f>
        <v>-1</v>
      </c>
      <c r="D31" s="28">
        <f t="shared" si="9"/>
        <v>17</v>
      </c>
      <c r="E31" s="22"/>
      <c r="F31" s="21"/>
      <c r="H31" s="23"/>
      <c r="I31" s="32"/>
      <c r="J31" s="25"/>
      <c r="K31" s="33"/>
      <c r="L31" s="22"/>
      <c r="M31" s="29"/>
      <c r="N31" s="29"/>
      <c r="O31" s="26"/>
      <c r="P31" s="24"/>
      <c r="Q31" s="27"/>
      <c r="R31" s="25"/>
      <c r="S31" s="33"/>
      <c r="T31" s="30"/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</row>
    <row r="32" spans="2:68" ht="15.75" x14ac:dyDescent="0.25">
      <c r="B32" s="22">
        <f>_xlfn.IFNA(IF(OR(type="T",type="M"), MATCH(team,Settings!$C$8:$C$15,0),-1), -1)</f>
        <v>-1</v>
      </c>
      <c r="C32" s="26">
        <f>IF(type&lt;&gt;"",IF(ROW(stage_id)=ROW($C$13)+2,1,IF(type="P",MAX(prev_col_range)+1,MAX(prev_col_range))),-1)</f>
        <v>-1</v>
      </c>
      <c r="D32" s="28">
        <f t="shared" si="9"/>
        <v>18</v>
      </c>
      <c r="E32" s="22"/>
      <c r="F32" s="21"/>
      <c r="H32" s="23"/>
      <c r="I32" s="32"/>
      <c r="J32" s="25"/>
      <c r="K32" s="33"/>
      <c r="L32" s="22"/>
      <c r="M32" s="29"/>
      <c r="N32" s="29"/>
      <c r="O32" s="26"/>
      <c r="P32" s="24"/>
      <c r="Q32" s="27"/>
      <c r="R32" s="25"/>
      <c r="S32" s="33"/>
      <c r="T32" s="30"/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1">
        <v>0</v>
      </c>
      <c r="BA32" s="31">
        <v>0</v>
      </c>
      <c r="BB32" s="31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</row>
    <row r="33" spans="2:68" ht="15.75" x14ac:dyDescent="0.25">
      <c r="B33" s="22">
        <f>_xlfn.IFNA(IF(OR(type="T",type="M"), MATCH(team,Settings!$C$8:$C$15,0),-1), -1)</f>
        <v>-1</v>
      </c>
      <c r="C33" s="26">
        <f>IF(type&lt;&gt;"",IF(ROW(stage_id)=ROW($C$13)+2,1,IF(type="P",MAX(prev_col_range)+1,MAX(prev_col_range))),-1)</f>
        <v>-1</v>
      </c>
      <c r="D33" s="28">
        <f t="shared" si="9"/>
        <v>19</v>
      </c>
      <c r="E33" s="22"/>
      <c r="F33" s="21"/>
      <c r="H33" s="23"/>
      <c r="I33" s="32"/>
      <c r="J33" s="25"/>
      <c r="K33" s="33"/>
      <c r="L33" s="22"/>
      <c r="M33" s="29"/>
      <c r="N33" s="29"/>
      <c r="O33" s="26"/>
      <c r="P33" s="24"/>
      <c r="Q33" s="27"/>
      <c r="R33" s="25"/>
      <c r="S33" s="33"/>
      <c r="T33" s="30"/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1">
        <v>0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</row>
    <row r="34" spans="2:68" ht="15.75" x14ac:dyDescent="0.25">
      <c r="B34" s="22">
        <f>_xlfn.IFNA(IF(OR(type="T",type="M"), MATCH(team,Settings!$C$8:$C$15,0),-1), -1)</f>
        <v>-1</v>
      </c>
      <c r="C34" s="26">
        <f>IF(type&lt;&gt;"",IF(ROW(stage_id)=ROW($C$13)+2,1,IF(type="P",MAX(prev_col_range)+1,MAX(prev_col_range))),-1)</f>
        <v>-1</v>
      </c>
      <c r="D34" s="28">
        <f t="shared" si="9"/>
        <v>20</v>
      </c>
      <c r="E34" s="22"/>
      <c r="F34" s="21"/>
      <c r="H34" s="23"/>
      <c r="I34" s="32"/>
      <c r="J34" s="25"/>
      <c r="K34" s="33"/>
      <c r="L34" s="22"/>
      <c r="M34" s="29"/>
      <c r="N34" s="29"/>
      <c r="O34" s="26"/>
      <c r="P34" s="24"/>
      <c r="Q34" s="27"/>
      <c r="R34" s="25"/>
      <c r="S34" s="33"/>
      <c r="T34" s="30"/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</row>
    <row r="35" spans="2:68" ht="15.75" x14ac:dyDescent="0.25">
      <c r="B35" s="22">
        <f>_xlfn.IFNA(IF(OR(type="T",type="M"), MATCH(team,Settings!$C$8:$C$15,0),-1), -1)</f>
        <v>-1</v>
      </c>
      <c r="C35" s="26">
        <f>IF(type&lt;&gt;"",IF(ROW(stage_id)=ROW($C$13)+2,1,IF(type="P",MAX(prev_col_range)+1,MAX(prev_col_range))),-1)</f>
        <v>-1</v>
      </c>
      <c r="D35" s="28">
        <f t="shared" si="9"/>
        <v>21</v>
      </c>
      <c r="E35" s="22"/>
      <c r="F35" s="21"/>
      <c r="H35" s="23"/>
      <c r="I35" s="32"/>
      <c r="J35" s="25"/>
      <c r="K35" s="33"/>
      <c r="L35" s="22"/>
      <c r="M35" s="29"/>
      <c r="N35" s="29"/>
      <c r="O35" s="26"/>
      <c r="P35" s="24"/>
      <c r="Q35" s="27"/>
      <c r="R35" s="25"/>
      <c r="S35" s="33"/>
      <c r="T35" s="30"/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0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</row>
    <row r="36" spans="2:68" ht="15.75" x14ac:dyDescent="0.25">
      <c r="B36" s="22">
        <f>_xlfn.IFNA(IF(OR(type="T",type="M"), MATCH(team,Settings!$C$8:$C$15,0),-1), -1)</f>
        <v>-1</v>
      </c>
      <c r="C36" s="26">
        <f>IF(type&lt;&gt;"",IF(ROW(stage_id)=ROW($C$13)+2,1,IF(type="P",MAX(prev_col_range)+1,MAX(prev_col_range))),-1)</f>
        <v>-1</v>
      </c>
      <c r="D36" s="28">
        <f t="shared" si="9"/>
        <v>22</v>
      </c>
      <c r="E36" s="22"/>
      <c r="F36" s="21"/>
      <c r="H36" s="23"/>
      <c r="I36" s="32"/>
      <c r="J36" s="25"/>
      <c r="K36" s="33"/>
      <c r="L36" s="22"/>
      <c r="M36" s="29"/>
      <c r="N36" s="29"/>
      <c r="O36" s="26"/>
      <c r="P36" s="24"/>
      <c r="Q36" s="27"/>
      <c r="R36" s="25"/>
      <c r="S36" s="33"/>
      <c r="T36" s="30"/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0</v>
      </c>
      <c r="AV36" s="31">
        <v>0</v>
      </c>
      <c r="AW36" s="31">
        <v>0</v>
      </c>
      <c r="AX36" s="31">
        <v>0</v>
      </c>
      <c r="AY36" s="31">
        <v>0</v>
      </c>
      <c r="AZ36" s="31">
        <v>0</v>
      </c>
      <c r="BA36" s="31">
        <v>0</v>
      </c>
      <c r="BB36" s="31">
        <v>0</v>
      </c>
      <c r="BC36" s="31">
        <v>0</v>
      </c>
      <c r="BD36" s="31">
        <v>0</v>
      </c>
      <c r="BE36" s="31">
        <v>0</v>
      </c>
      <c r="BF36" s="31">
        <v>0</v>
      </c>
      <c r="BG36" s="31">
        <v>0</v>
      </c>
      <c r="BH36" s="31">
        <v>0</v>
      </c>
      <c r="BI36" s="31">
        <v>0</v>
      </c>
      <c r="BJ36" s="31">
        <v>0</v>
      </c>
      <c r="BK36" s="31">
        <v>0</v>
      </c>
      <c r="BL36" s="31">
        <v>0</v>
      </c>
      <c r="BM36" s="31">
        <v>0</v>
      </c>
      <c r="BN36" s="31">
        <v>0</v>
      </c>
      <c r="BO36" s="31">
        <v>0</v>
      </c>
      <c r="BP36" s="31">
        <v>0</v>
      </c>
    </row>
    <row r="37" spans="2:68" ht="15.75" x14ac:dyDescent="0.25">
      <c r="B37" s="22">
        <f>_xlfn.IFNA(IF(OR(type="T",type="M"), MATCH(team,Settings!$C$8:$C$15,0),-1), -1)</f>
        <v>-1</v>
      </c>
      <c r="C37" s="26">
        <f>IF(type&lt;&gt;"",IF(ROW(stage_id)=ROW($C$13)+2,1,IF(type="P",MAX(prev_col_range)+1,MAX(prev_col_range))),-1)</f>
        <v>-1</v>
      </c>
      <c r="D37" s="28">
        <f t="shared" si="9"/>
        <v>23</v>
      </c>
      <c r="E37" s="22"/>
      <c r="F37" s="21"/>
      <c r="H37" s="23"/>
      <c r="I37" s="32"/>
      <c r="J37" s="25"/>
      <c r="K37" s="33"/>
      <c r="L37" s="22"/>
      <c r="M37" s="29"/>
      <c r="N37" s="29"/>
      <c r="O37" s="26"/>
      <c r="P37" s="24"/>
      <c r="Q37" s="27"/>
      <c r="R37" s="25"/>
      <c r="S37" s="33"/>
      <c r="T37" s="30"/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</row>
    <row r="38" spans="2:68" ht="15.75" x14ac:dyDescent="0.25">
      <c r="B38" s="22">
        <f>_xlfn.IFNA(IF(OR(type="T",type="M"), MATCH(team,Settings!$C$8:$C$15,0),-1), -1)</f>
        <v>-1</v>
      </c>
      <c r="C38" s="26">
        <f>IF(type&lt;&gt;"",IF(ROW(stage_id)=ROW($C$13)+2,1,IF(type="P",MAX(prev_col_range)+1,MAX(prev_col_range))),-1)</f>
        <v>-1</v>
      </c>
      <c r="D38" s="28">
        <f t="shared" si="9"/>
        <v>24</v>
      </c>
      <c r="E38" s="22"/>
      <c r="F38" s="21"/>
      <c r="H38" s="23"/>
      <c r="I38" s="32"/>
      <c r="J38" s="25"/>
      <c r="K38" s="33"/>
      <c r="L38" s="22"/>
      <c r="M38" s="29"/>
      <c r="N38" s="29"/>
      <c r="O38" s="26"/>
      <c r="P38" s="24"/>
      <c r="Q38" s="27"/>
      <c r="R38" s="25"/>
      <c r="S38" s="33"/>
      <c r="T38" s="30"/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>
        <v>0</v>
      </c>
      <c r="BO38" s="31">
        <v>0</v>
      </c>
      <c r="BP38" s="31">
        <v>0</v>
      </c>
    </row>
    <row r="39" spans="2:68" ht="15.75" x14ac:dyDescent="0.25">
      <c r="B39" s="22">
        <f>_xlfn.IFNA(IF(OR(type="T",type="M"), MATCH(team,Settings!$C$8:$C$15,0),-1), -1)</f>
        <v>-1</v>
      </c>
      <c r="C39" s="26">
        <f>IF(type&lt;&gt;"",IF(ROW(stage_id)=ROW($C$13)+2,1,IF(type="P",MAX(prev_col_range)+1,MAX(prev_col_range))),-1)</f>
        <v>-1</v>
      </c>
      <c r="D39" s="28">
        <f t="shared" si="9"/>
        <v>25</v>
      </c>
      <c r="E39" s="22"/>
      <c r="F39" s="21"/>
      <c r="H39" s="23"/>
      <c r="I39" s="32"/>
      <c r="J39" s="25"/>
      <c r="K39" s="33"/>
      <c r="L39" s="22"/>
      <c r="M39" s="29" t="str">
        <f t="shared" si="10"/>
        <v/>
      </c>
      <c r="N39" s="29" t="str" cm="1">
        <f t="array" ref="N39">IFERROR("(" &amp; d.type &amp; ") " &amp; IF(LEN(d.name)&gt;10, LEFT(d.name,10) &amp; "…",d.name ),"")</f>
        <v/>
      </c>
      <c r="O39" s="26" t="s">
        <v>30</v>
      </c>
      <c r="P39" s="24"/>
      <c r="Q39" s="27"/>
      <c r="R39" s="25" t="str" cm="1">
        <f t="array" ref="R39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39" s="33" t="str" cm="1">
        <f t="array" ref="S39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39" s="30"/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</row>
    <row r="40" spans="2:68" ht="15.75" x14ac:dyDescent="0.25">
      <c r="B40" s="22">
        <f>_xlfn.IFNA(IF(OR(type="T",type="M"), MATCH(team,Settings!$C$8:$C$15,0),-1), -1)</f>
        <v>-1</v>
      </c>
      <c r="C40" s="26">
        <f>IF(type&lt;&gt;"",IF(ROW(stage_id)=ROW($C$13)+2,1,IF(type="P",MAX(prev_col_range)+1,MAX(prev_col_range))),-1)</f>
        <v>-1</v>
      </c>
      <c r="D40" s="28">
        <f t="shared" si="9"/>
        <v>26</v>
      </c>
      <c r="E40" s="22"/>
      <c r="F40" s="21"/>
      <c r="H40" s="23"/>
      <c r="I40" s="32"/>
      <c r="J40" s="25"/>
      <c r="K40" s="33"/>
      <c r="L40" s="22"/>
      <c r="M40" s="29" t="str">
        <f t="shared" si="10"/>
        <v/>
      </c>
      <c r="N40" s="29" t="str" cm="1">
        <f t="array" ref="N40">IFERROR("(" &amp; d.type &amp; ") " &amp; IF(LEN(d.name)&gt;10, LEFT(d.name,10) &amp; "…",d.name ),"")</f>
        <v/>
      </c>
      <c r="O40" s="26" t="s">
        <v>30</v>
      </c>
      <c r="P40" s="24"/>
      <c r="Q40" s="27"/>
      <c r="R40" s="25" t="str" cm="1">
        <f t="array" ref="R40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40" s="33" t="str" cm="1">
        <f t="array" ref="S40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40" s="30"/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</v>
      </c>
      <c r="BK40" s="31">
        <v>0</v>
      </c>
      <c r="BL40" s="31">
        <v>0</v>
      </c>
      <c r="BM40" s="31">
        <v>0</v>
      </c>
      <c r="BN40" s="31">
        <v>0</v>
      </c>
      <c r="BO40" s="31">
        <v>0</v>
      </c>
      <c r="BP40" s="31">
        <v>0</v>
      </c>
    </row>
    <row r="41" spans="2:68" ht="15.75" x14ac:dyDescent="0.25">
      <c r="B41" s="22">
        <f>_xlfn.IFNA(IF(OR(type="T",type="M"), MATCH(team,Settings!$C$8:$C$15,0),-1), -1)</f>
        <v>-1</v>
      </c>
      <c r="C41" s="26">
        <f>IF(type&lt;&gt;"",IF(ROW(stage_id)=ROW($C$13)+2,1,IF(type="P",MAX(prev_col_range)+1,MAX(prev_col_range))),-1)</f>
        <v>-1</v>
      </c>
      <c r="D41" s="28">
        <f t="shared" si="9"/>
        <v>27</v>
      </c>
      <c r="E41" s="22"/>
      <c r="F41" s="21"/>
      <c r="H41" s="23"/>
      <c r="I41" s="32"/>
      <c r="J41" s="25"/>
      <c r="K41" s="33"/>
      <c r="L41" s="22"/>
      <c r="M41" s="29" t="str">
        <f t="shared" si="10"/>
        <v/>
      </c>
      <c r="N41" s="29" t="str" cm="1">
        <f t="array" ref="N41">IFERROR("(" &amp; d.type &amp; ") " &amp; IF(LEN(d.name)&gt;10, LEFT(d.name,10) &amp; "…",d.name ),"")</f>
        <v/>
      </c>
      <c r="O41" s="26" t="s">
        <v>30</v>
      </c>
      <c r="P41" s="24"/>
      <c r="Q41" s="27"/>
      <c r="R41" s="25" t="str" cm="1">
        <f t="array" ref="R41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41" s="33" t="str" cm="1">
        <f t="array" ref="S41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41" s="30"/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1">
        <v>0</v>
      </c>
      <c r="AY41" s="31">
        <v>0</v>
      </c>
      <c r="AZ41" s="31">
        <v>0</v>
      </c>
      <c r="BA41" s="31">
        <v>0</v>
      </c>
      <c r="BB41" s="31">
        <v>0</v>
      </c>
      <c r="BC41" s="31">
        <v>0</v>
      </c>
      <c r="BD41" s="31">
        <v>0</v>
      </c>
      <c r="BE41" s="31">
        <v>0</v>
      </c>
      <c r="BF41" s="31">
        <v>0</v>
      </c>
      <c r="BG41" s="31">
        <v>0</v>
      </c>
      <c r="BH41" s="31">
        <v>0</v>
      </c>
      <c r="BI41" s="31">
        <v>0</v>
      </c>
      <c r="BJ41" s="31">
        <v>0</v>
      </c>
      <c r="BK41" s="31">
        <v>0</v>
      </c>
      <c r="BL41" s="31">
        <v>0</v>
      </c>
      <c r="BM41" s="31">
        <v>0</v>
      </c>
      <c r="BN41" s="31">
        <v>0</v>
      </c>
      <c r="BO41" s="31">
        <v>0</v>
      </c>
      <c r="BP41" s="31">
        <v>0</v>
      </c>
    </row>
    <row r="42" spans="2:68" ht="15.75" x14ac:dyDescent="0.25">
      <c r="B42" s="22">
        <f>_xlfn.IFNA(IF(OR(type="T",type="M"), MATCH(team,Settings!$C$8:$C$15,0),-1), -1)</f>
        <v>-1</v>
      </c>
      <c r="C42" s="26">
        <f>IF(type&lt;&gt;"",IF(ROW(stage_id)=ROW($C$13)+2,1,IF(type="P",MAX(prev_col_range)+1,MAX(prev_col_range))),-1)</f>
        <v>-1</v>
      </c>
      <c r="D42" s="28">
        <f t="shared" si="9"/>
        <v>28</v>
      </c>
      <c r="E42" s="22"/>
      <c r="F42" s="21"/>
      <c r="H42" s="23"/>
      <c r="I42" s="32"/>
      <c r="J42" s="25"/>
      <c r="K42" s="33"/>
      <c r="L42" s="22"/>
      <c r="M42" s="29" t="str">
        <f t="shared" si="10"/>
        <v/>
      </c>
      <c r="N42" s="29" t="str" cm="1">
        <f t="array" ref="N42">IFERROR("(" &amp; d.type &amp; ") " &amp; IF(LEN(d.name)&gt;10, LEFT(d.name,10) &amp; "…",d.name ),"")</f>
        <v/>
      </c>
      <c r="O42" s="26" t="s">
        <v>30</v>
      </c>
      <c r="P42" s="24"/>
      <c r="Q42" s="27"/>
      <c r="R42" s="25" t="str" cm="1">
        <f t="array" ref="R42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42" s="33" t="str" cm="1">
        <f t="array" ref="S42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42" s="30"/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0</v>
      </c>
      <c r="AG42" s="31">
        <v>0</v>
      </c>
      <c r="AH42" s="31">
        <v>0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0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0</v>
      </c>
      <c r="BN42" s="31">
        <v>0</v>
      </c>
      <c r="BO42" s="31">
        <v>0</v>
      </c>
      <c r="BP42" s="31">
        <v>0</v>
      </c>
    </row>
    <row r="43" spans="2:68" ht="15.75" x14ac:dyDescent="0.25">
      <c r="B43" s="22">
        <f>_xlfn.IFNA(IF(OR(type="T",type="M"), MATCH(team,Settings!$C$8:$C$15,0),-1), -1)</f>
        <v>-1</v>
      </c>
      <c r="C43" s="26">
        <f>IF(type&lt;&gt;"",IF(ROW(stage_id)=ROW($C$13)+2,1,IF(type="P",MAX(prev_col_range)+1,MAX(prev_col_range))),-1)</f>
        <v>-1</v>
      </c>
      <c r="D43" s="28">
        <f t="shared" si="9"/>
        <v>29</v>
      </c>
      <c r="E43" s="22"/>
      <c r="F43" s="21"/>
      <c r="H43" s="23"/>
      <c r="I43" s="32"/>
      <c r="J43" s="25"/>
      <c r="K43" s="33"/>
      <c r="L43" s="22"/>
      <c r="M43" s="29" t="str">
        <f t="shared" si="10"/>
        <v/>
      </c>
      <c r="N43" s="29" t="str" cm="1">
        <f t="array" ref="N43">IFERROR("(" &amp; d.type &amp; ") " &amp; IF(LEN(d.name)&gt;10, LEFT(d.name,10) &amp; "…",d.name ),"")</f>
        <v/>
      </c>
      <c r="O43" s="26" t="s">
        <v>30</v>
      </c>
      <c r="P43" s="24"/>
      <c r="Q43" s="27"/>
      <c r="R43" s="25" t="str" cm="1">
        <f t="array" ref="R43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43" s="33" t="str" cm="1">
        <f t="array" ref="S43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43" s="30"/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</row>
    <row r="44" spans="2:68" ht="15.75" x14ac:dyDescent="0.25">
      <c r="B44" s="22">
        <f>_xlfn.IFNA(IF(OR(type="T",type="M"), MATCH(team,Settings!$C$8:$C$15,0),-1), -1)</f>
        <v>-1</v>
      </c>
      <c r="C44" s="26">
        <f>IF(type&lt;&gt;"",IF(ROW(stage_id)=ROW($C$13)+2,1,IF(type="P",MAX(prev_col_range)+1,MAX(prev_col_range))),-1)</f>
        <v>-1</v>
      </c>
      <c r="D44" s="28">
        <f t="shared" si="9"/>
        <v>30</v>
      </c>
      <c r="E44" s="22"/>
      <c r="F44" s="21"/>
      <c r="H44" s="23"/>
      <c r="I44" s="32"/>
      <c r="J44" s="25"/>
      <c r="K44" s="33"/>
      <c r="L44" s="22"/>
      <c r="M44" s="29" t="str">
        <f t="shared" si="10"/>
        <v/>
      </c>
      <c r="N44" s="29" t="str" cm="1">
        <f t="array" ref="N44">IFERROR("(" &amp; d.type &amp; ") " &amp; IF(LEN(d.name)&gt;10, LEFT(d.name,10) &amp; "…",d.name ),"")</f>
        <v/>
      </c>
      <c r="O44" s="26" t="s">
        <v>30</v>
      </c>
      <c r="P44" s="24"/>
      <c r="Q44" s="27"/>
      <c r="R44" s="25" t="str" cm="1">
        <f t="array" ref="R44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44" s="33" t="str" cm="1">
        <f t="array" ref="S44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44" s="30"/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0</v>
      </c>
      <c r="AY44" s="31">
        <v>0</v>
      </c>
      <c r="AZ44" s="31">
        <v>0</v>
      </c>
      <c r="BA44" s="31">
        <v>0</v>
      </c>
      <c r="BB44" s="31">
        <v>0</v>
      </c>
      <c r="BC44" s="31">
        <v>0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0</v>
      </c>
      <c r="BJ44" s="31">
        <v>0</v>
      </c>
      <c r="BK44" s="31">
        <v>0</v>
      </c>
      <c r="BL44" s="31">
        <v>0</v>
      </c>
      <c r="BM44" s="31">
        <v>0</v>
      </c>
      <c r="BN44" s="31">
        <v>0</v>
      </c>
      <c r="BO44" s="31">
        <v>0</v>
      </c>
      <c r="BP44" s="31">
        <v>0</v>
      </c>
    </row>
    <row r="45" spans="2:68" ht="15.75" x14ac:dyDescent="0.25">
      <c r="B45" s="22">
        <f>_xlfn.IFNA(IF(OR(type="T",type="M"), MATCH(team,Settings!$C$8:$C$15,0),-1), -1)</f>
        <v>-1</v>
      </c>
      <c r="C45" s="26">
        <f>IF(type&lt;&gt;"",IF(ROW(stage_id)=ROW($C$13)+2,1,IF(type="P",MAX(prev_col_range)+1,MAX(prev_col_range))),-1)</f>
        <v>-1</v>
      </c>
      <c r="D45" s="28">
        <f t="shared" si="9"/>
        <v>31</v>
      </c>
      <c r="E45" s="22"/>
      <c r="F45" s="21"/>
      <c r="H45" s="23"/>
      <c r="I45" s="32"/>
      <c r="J45" s="25"/>
      <c r="K45" s="33"/>
      <c r="L45" s="22"/>
      <c r="M45" s="29" t="str">
        <f t="shared" si="10"/>
        <v/>
      </c>
      <c r="N45" s="29" t="str" cm="1">
        <f t="array" ref="N45">IFERROR("(" &amp; d.type &amp; ") " &amp; IF(LEN(d.name)&gt;10, LEFT(d.name,10) &amp; "…",d.name ),"")</f>
        <v/>
      </c>
      <c r="O45" s="26" t="s">
        <v>30</v>
      </c>
      <c r="P45" s="24"/>
      <c r="Q45" s="27"/>
      <c r="R45" s="25" t="str" cm="1">
        <f t="array" ref="R45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45" s="33" t="str" cm="1">
        <f t="array" ref="S45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45" s="30"/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</row>
    <row r="46" spans="2:68" ht="15.75" x14ac:dyDescent="0.25">
      <c r="B46" s="22">
        <f>_xlfn.IFNA(IF(OR(type="T",type="M"), MATCH(team,Settings!$C$8:$C$15,0),-1), -1)</f>
        <v>-1</v>
      </c>
      <c r="C46" s="26">
        <f>IF(type&lt;&gt;"",IF(ROW(stage_id)=ROW($C$13)+2,1,IF(type="P",MAX(prev_col_range)+1,MAX(prev_col_range))),-1)</f>
        <v>-1</v>
      </c>
      <c r="D46" s="28">
        <f t="shared" si="9"/>
        <v>32</v>
      </c>
      <c r="E46" s="22"/>
      <c r="F46" s="21"/>
      <c r="H46" s="23"/>
      <c r="I46" s="32"/>
      <c r="J46" s="25"/>
      <c r="K46" s="33"/>
      <c r="L46" s="22"/>
      <c r="M46" s="29" t="str">
        <f t="shared" si="10"/>
        <v/>
      </c>
      <c r="N46" s="29" t="str" cm="1">
        <f t="array" ref="N46">IFERROR("(" &amp; d.type &amp; ") " &amp; IF(LEN(d.name)&gt;10, LEFT(d.name,10) &amp; "…",d.name ),"")</f>
        <v/>
      </c>
      <c r="O46" s="26" t="s">
        <v>30</v>
      </c>
      <c r="P46" s="24"/>
      <c r="Q46" s="27"/>
      <c r="R46" s="25" t="str" cm="1">
        <f t="array" ref="R46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46" s="33" t="str" cm="1">
        <f t="array" ref="S46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46" s="30"/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</row>
    <row r="47" spans="2:68" ht="15.75" x14ac:dyDescent="0.25">
      <c r="B47" s="22">
        <f>_xlfn.IFNA(IF(OR(type="T",type="M"), MATCH(team,Settings!$C$8:$C$15,0),-1), -1)</f>
        <v>-1</v>
      </c>
      <c r="C47" s="26">
        <f>IF(type&lt;&gt;"",IF(ROW(stage_id)=ROW($C$13)+2,1,IF(type="P",MAX(prev_col_range)+1,MAX(prev_col_range))),-1)</f>
        <v>-1</v>
      </c>
      <c r="D47" s="28">
        <f t="shared" si="9"/>
        <v>33</v>
      </c>
      <c r="E47" s="22"/>
      <c r="F47" s="21"/>
      <c r="H47" s="23"/>
      <c r="I47" s="32"/>
      <c r="J47" s="25"/>
      <c r="K47" s="33"/>
      <c r="L47" s="22"/>
      <c r="M47" s="29" t="str">
        <f t="shared" si="10"/>
        <v/>
      </c>
      <c r="N47" s="29" t="str" cm="1">
        <f t="array" ref="N47">IFERROR("(" &amp; d.type &amp; ") " &amp; IF(LEN(d.name)&gt;10, LEFT(d.name,10) &amp; "…",d.name ),"")</f>
        <v/>
      </c>
      <c r="O47" s="26" t="s">
        <v>30</v>
      </c>
      <c r="P47" s="24"/>
      <c r="Q47" s="27"/>
      <c r="R47" s="25" t="str" cm="1">
        <f t="array" ref="R47">IFERROR(IF(ind.start&gt;0,ind.start,
    IF(ind.end&lt;&gt;"",plan_start_calculation,
        IF(d.id&lt;&gt;"",
           IF(OR(d.conn="FS",d.conn=""),fs_calculation,
           IF(d.conn="SS",ss_calculation,
           plan_start_calculation)),"")
)),"")</f>
        <v/>
      </c>
      <c r="S47" s="33" t="str" cm="1">
        <f t="array" ref="S47">IFERROR(IF(ind.start&lt;&gt;"",plan_end_calculation,
    IF(ind.end&lt;&gt;"",ind.end,
        IF(d.id&lt;&gt;"",
           IF(d.conn="SF",sf_calculation,
           IF(d.conn="FF",ff_calculation,
           plan_end_calculation)),"")
)),"")</f>
        <v/>
      </c>
      <c r="T47" s="30"/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</row>
  </sheetData>
  <mergeCells count="11">
    <mergeCell ref="AF2:AG2"/>
    <mergeCell ref="E2:F2"/>
    <mergeCell ref="U2:X2"/>
    <mergeCell ref="Y2:AA2"/>
    <mergeCell ref="AC2:AE2"/>
    <mergeCell ref="U5:W5"/>
    <mergeCell ref="U6:W6"/>
    <mergeCell ref="AA6:AC6"/>
    <mergeCell ref="AA5:AC5"/>
    <mergeCell ref="AG5:AI5"/>
    <mergeCell ref="AG6:AI6"/>
  </mergeCells>
  <phoneticPr fontId="7" type="noConversion"/>
  <conditionalFormatting sqref="B15:BP47">
    <cfRule type="expression" dxfId="63" priority="3">
      <formula>type="P"</formula>
    </cfRule>
  </conditionalFormatting>
  <conditionalFormatting sqref="F15:F47">
    <cfRule type="expression" dxfId="62" priority="74">
      <formula>OR(type="T",type="M")</formula>
    </cfRule>
  </conditionalFormatting>
  <conditionalFormatting sqref="G15:G47">
    <cfRule type="expression" dxfId="61" priority="10" stopIfTrue="1">
      <formula>OR(color_code=901,color_code=902)</formula>
    </cfRule>
    <cfRule type="expression" dxfId="60" priority="37" stopIfTrue="1">
      <formula>OR(color_code=101,color_code=104)</formula>
    </cfRule>
    <cfRule type="expression" dxfId="59" priority="38" stopIfTrue="1">
      <formula>OR(color_code=102,color_code=103)</formula>
    </cfRule>
    <cfRule type="expression" dxfId="58" priority="39" stopIfTrue="1">
      <formula>OR(color_code=201,color_code=204)</formula>
    </cfRule>
    <cfRule type="expression" dxfId="57" priority="40" stopIfTrue="1">
      <formula>OR(color_code=202,color_code=203)</formula>
    </cfRule>
    <cfRule type="expression" dxfId="56" priority="41" stopIfTrue="1">
      <formula>OR(color_code=301,color_code=304)</formula>
    </cfRule>
    <cfRule type="expression" dxfId="55" priority="42" stopIfTrue="1">
      <formula>OR(color_code=302,color_code=303)</formula>
    </cfRule>
    <cfRule type="expression" dxfId="54" priority="43" stopIfTrue="1">
      <formula>OR(color_code=401,color_code=404)</formula>
    </cfRule>
    <cfRule type="expression" dxfId="53" priority="44" stopIfTrue="1">
      <formula>OR(color_code=402,color_code=403)</formula>
    </cfRule>
    <cfRule type="expression" dxfId="52" priority="45" stopIfTrue="1">
      <formula>OR(color_code=501,color_code=504)</formula>
    </cfRule>
    <cfRule type="expression" dxfId="51" priority="46" stopIfTrue="1">
      <formula>OR(color_code=502,color_code=503)</formula>
    </cfRule>
    <cfRule type="expression" dxfId="50" priority="47" stopIfTrue="1">
      <formula>OR(color_code=601,color_code=604)</formula>
    </cfRule>
    <cfRule type="expression" dxfId="49" priority="48" stopIfTrue="1">
      <formula>OR(color_code=602,color_code=603)</formula>
    </cfRule>
    <cfRule type="expression" dxfId="48" priority="49" stopIfTrue="1">
      <formula>OR(color_code=701,color_code=704)</formula>
    </cfRule>
    <cfRule type="expression" dxfId="47" priority="50" stopIfTrue="1">
      <formula>OR(color_code=702,color_code=703)</formula>
    </cfRule>
    <cfRule type="expression" dxfId="46" priority="55" stopIfTrue="1">
      <formula>OR(color_code=801,color_code=804)</formula>
    </cfRule>
    <cfRule type="expression" dxfId="45" priority="67" stopIfTrue="1">
      <formula>OR(color_code=802,color_code=803)</formula>
    </cfRule>
    <cfRule type="expression" dxfId="44" priority="72" stopIfTrue="1">
      <formula>color_code=1</formula>
    </cfRule>
    <cfRule type="expression" dxfId="43" priority="73">
      <formula>OR(color_code=2,color_code=3)</formula>
    </cfRule>
  </conditionalFormatting>
  <conditionalFormatting sqref="J15:J47">
    <cfRule type="expression" dxfId="41" priority="62">
      <formula>AND(type="P",_xlfn.ISFORMULA(ind.start))</formula>
    </cfRule>
  </conditionalFormatting>
  <conditionalFormatting sqref="K15:K47">
    <cfRule type="expression" dxfId="40" priority="64">
      <formula>ind.start&lt;&gt;""</formula>
    </cfRule>
  </conditionalFormatting>
  <conditionalFormatting sqref="L15:L47 J15:J47 Q15:Q47 T15:T47">
    <cfRule type="expression" dxfId="39" priority="63">
      <formula>_xlfn.ISFORMULA(J15)</formula>
    </cfRule>
  </conditionalFormatting>
  <conditionalFormatting sqref="L15:P47">
    <cfRule type="expression" dxfId="38" priority="61">
      <formula>OR(ind.start&lt;&gt;"",ind.end&lt;&gt;"")</formula>
    </cfRule>
  </conditionalFormatting>
  <conditionalFormatting sqref="M15:P47">
    <cfRule type="expression" dxfId="37" priority="60">
      <formula>d.id=""</formula>
    </cfRule>
  </conditionalFormatting>
  <conditionalFormatting sqref="U9:BP9 U14:BP14">
    <cfRule type="expression" dxfId="36" priority="59">
      <formula>AND(date&gt;=project_start,date&lt;=project_end)</formula>
    </cfRule>
  </conditionalFormatting>
  <conditionalFormatting sqref="U10:BP47">
    <cfRule type="expression" dxfId="35" priority="1">
      <formula>IF(highlight="Today", date=TODAY(),date=highlight)</formula>
    </cfRule>
  </conditionalFormatting>
  <conditionalFormatting sqref="U11:BP11">
    <cfRule type="expression" dxfId="34" priority="76">
      <formula>ISODD(MONTH(U$12))</formula>
    </cfRule>
  </conditionalFormatting>
  <conditionalFormatting sqref="U12:BP13">
    <cfRule type="expression" dxfId="33" priority="2">
      <formula>IF(highlight="Today", date=TODAY(),date=highlight)</formula>
    </cfRule>
  </conditionalFormatting>
  <conditionalFormatting sqref="U12:BP47">
    <cfRule type="expression" dxfId="32" priority="4">
      <formula>WEEKDAY(date,2)=7</formula>
    </cfRule>
    <cfRule type="expression" dxfId="31" priority="5">
      <formula>WEEKDAY(date,2)=6</formula>
    </cfRule>
  </conditionalFormatting>
  <conditionalFormatting sqref="U15:BP47">
    <cfRule type="expression" priority="6" stopIfTrue="1">
      <formula>NOT(item_in_plan)</formula>
    </cfRule>
    <cfRule type="expression" dxfId="30" priority="7" stopIfTrue="1">
      <formula>AND(show_progress="Yes",item_in_complete,OR(type="P",type="T"))</formula>
    </cfRule>
    <cfRule type="expression" dxfId="29" priority="8" stopIfTrue="1">
      <formula>AND(show_progress="Yes",item_in_complete,type="M")</formula>
    </cfRule>
    <cfRule type="expression" dxfId="28" priority="9" stopIfTrue="1">
      <formula>color_code=901</formula>
    </cfRule>
    <cfRule type="expression" dxfId="27" priority="11" stopIfTrue="1">
      <formula>color_code=902</formula>
    </cfRule>
    <cfRule type="expression" dxfId="26" priority="12" stopIfTrue="1">
      <formula>color_code=101</formula>
    </cfRule>
    <cfRule type="expression" dxfId="25" priority="13" stopIfTrue="1">
      <formula>color_code=102</formula>
    </cfRule>
    <cfRule type="expression" dxfId="24" priority="14" stopIfTrue="1">
      <formula>OR(color_code=103,color_code=104)</formula>
    </cfRule>
    <cfRule type="expression" dxfId="23" priority="15" stopIfTrue="1">
      <formula>color_code=201</formula>
    </cfRule>
    <cfRule type="expression" dxfId="22" priority="16" stopIfTrue="1">
      <formula>color_code=202</formula>
    </cfRule>
    <cfRule type="expression" dxfId="21" priority="17" stopIfTrue="1">
      <formula>OR(color_code=203,color_code=204)</formula>
    </cfRule>
    <cfRule type="expression" dxfId="20" priority="18" stopIfTrue="1">
      <formula>color_code=301</formula>
    </cfRule>
    <cfRule type="expression" dxfId="19" priority="19" stopIfTrue="1">
      <formula>color_code=302</formula>
    </cfRule>
    <cfRule type="expression" dxfId="18" priority="20" stopIfTrue="1">
      <formula>OR(color_code=303,color_code=304)</formula>
    </cfRule>
    <cfRule type="expression" dxfId="17" priority="21" stopIfTrue="1">
      <formula>color_code=401</formula>
    </cfRule>
    <cfRule type="expression" dxfId="16" priority="22" stopIfTrue="1">
      <formula>color_code=402</formula>
    </cfRule>
    <cfRule type="expression" dxfId="15" priority="23" stopIfTrue="1">
      <formula>OR(color_code=403,color_code=404)</formula>
    </cfRule>
    <cfRule type="expression" dxfId="14" priority="24" stopIfTrue="1">
      <formula>color_code=501</formula>
    </cfRule>
    <cfRule type="expression" dxfId="13" priority="25" stopIfTrue="1">
      <formula>color_code=502</formula>
    </cfRule>
    <cfRule type="expression" dxfId="12" priority="26" stopIfTrue="1">
      <formula>OR(color_code=503,color_code=504)</formula>
    </cfRule>
    <cfRule type="expression" dxfId="11" priority="27" stopIfTrue="1">
      <formula>color_code=601</formula>
    </cfRule>
    <cfRule type="expression" dxfId="10" priority="28" stopIfTrue="1">
      <formula>color_code=602</formula>
    </cfRule>
    <cfRule type="expression" dxfId="9" priority="36" stopIfTrue="1">
      <formula>OR(color_code=603,color_code=604)</formula>
    </cfRule>
    <cfRule type="expression" dxfId="8" priority="51" stopIfTrue="1">
      <formula>color_code=701</formula>
    </cfRule>
    <cfRule type="expression" dxfId="7" priority="52" stopIfTrue="1">
      <formula>color_code=702</formula>
    </cfRule>
    <cfRule type="expression" dxfId="6" priority="54" stopIfTrue="1">
      <formula>OR(color_code=703,color_code=704)</formula>
    </cfRule>
    <cfRule type="expression" dxfId="5" priority="58" stopIfTrue="1">
      <formula>color_code=801</formula>
    </cfRule>
    <cfRule type="expression" dxfId="4" priority="65" stopIfTrue="1">
      <formula>color_code=802</formula>
    </cfRule>
    <cfRule type="expression" dxfId="3" priority="68" stopIfTrue="1">
      <formula>OR(color_code=803,color_code=804)</formula>
    </cfRule>
    <cfRule type="expression" dxfId="2" priority="70" stopIfTrue="1">
      <formula>color_code=1</formula>
    </cfRule>
    <cfRule type="expression" dxfId="1" priority="71" stopIfTrue="1">
      <formula>color_code=2</formula>
    </cfRule>
    <cfRule type="expression" dxfId="0" priority="75" stopIfTrue="1">
      <formula>color_code=3</formula>
    </cfRule>
  </conditionalFormatting>
  <dataValidations count="6">
    <dataValidation type="list" allowBlank="1" showInputMessage="1" showErrorMessage="1" sqref="U6" xr:uid="{D050A33C-7249-49A7-A1A8-4DB83EF56107}">
      <formula1>"Default,Project,Teams,Issues"</formula1>
    </dataValidation>
    <dataValidation type="list" allowBlank="1" showInputMessage="1" showErrorMessage="1" sqref="AA6" xr:uid="{F7A40D87-B8DE-46BF-A5FC-712D6187AF90}">
      <formula1>"Yes,No"</formula1>
    </dataValidation>
    <dataValidation type="list" allowBlank="1" showInputMessage="1" showErrorMessage="1" sqref="E15:E47" xr:uid="{CF174A44-CBDE-4AF4-94B1-689DE5F28D27}">
      <formula1>"P,T,M"</formula1>
    </dataValidation>
    <dataValidation type="list" allowBlank="1" showInputMessage="1" showErrorMessage="1" sqref="I15:I47" xr:uid="{B4717B1B-04D0-422A-910B-5B2E177EE032}">
      <formula1>"⚠️"</formula1>
    </dataValidation>
    <dataValidation type="list" allowBlank="1" showInputMessage="1" showErrorMessage="1" sqref="O15:O47" xr:uid="{7AA16D4A-EEEA-46D0-A2F7-45F53B7555BE}">
      <formula1>"FS,SS,SF,FF"</formula1>
    </dataValidation>
    <dataValidation type="list" allowBlank="1" showInputMessage="1" showErrorMessage="1" sqref="AG6" xr:uid="{EE1EB4F1-7B38-4AC9-8AC4-9CF54FA32A6C}">
      <formula1>$T$12:$BP$12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3" name="Scroll Bar 8">
              <controlPr defaultSize="0" autoPict="0">
                <anchor moveWithCells="1">
                  <from>
                    <xdr:col>35</xdr:col>
                    <xdr:colOff>361950</xdr:colOff>
                    <xdr:row>3</xdr:row>
                    <xdr:rowOff>171450</xdr:rowOff>
                  </from>
                  <to>
                    <xdr:col>40</xdr:col>
                    <xdr:colOff>104775</xdr:colOff>
                    <xdr:row>5</xdr:row>
                    <xdr:rowOff>180975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B920C015-E102-4ACC-87E7-046BF80F35B3}">
            <xm:f>ISNA(MATCH(team,Settings!$C$8:$C$15,0))</xm:f>
            <x14:dxf>
              <font>
                <strike/>
                <color theme="4"/>
              </font>
            </x14:dxf>
          </x14:cfRule>
          <xm:sqref>H15:H47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26CDDC-809E-4B1D-A9FC-4D7E465DE495}">
          <x14:formula1>
            <xm:f>OFFSET(Settings!$C$8,,,COUNTA(Settings!$C$8:$C$15))</xm:f>
          </x14:formula1>
          <xm:sqref>H15:H47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9D48-54E7-49FA-8C0B-C66EE2E2545B}">
  <dimension ref="A1:AY15"/>
  <sheetViews>
    <sheetView showGridLines="0" workbookViewId="0">
      <selection activeCell="C13" sqref="C13"/>
    </sheetView>
  </sheetViews>
  <sheetFormatPr defaultRowHeight="15" x14ac:dyDescent="0.25"/>
  <cols>
    <col min="2" max="2" width="1.42578125" customWidth="1"/>
    <col min="3" max="3" width="26" customWidth="1"/>
    <col min="4" max="4" width="1.42578125" customWidth="1"/>
  </cols>
  <sheetData>
    <row r="1" spans="1:5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7" spans="1:51" x14ac:dyDescent="0.25">
      <c r="C7" s="19" t="s">
        <v>9</v>
      </c>
    </row>
    <row r="8" spans="1:51" x14ac:dyDescent="0.25">
      <c r="C8" s="20" t="s">
        <v>10</v>
      </c>
    </row>
    <row r="9" spans="1:51" x14ac:dyDescent="0.25">
      <c r="C9" s="20" t="s">
        <v>11</v>
      </c>
    </row>
    <row r="10" spans="1:51" x14ac:dyDescent="0.25">
      <c r="C10" s="20" t="s">
        <v>12</v>
      </c>
    </row>
    <row r="11" spans="1:51" x14ac:dyDescent="0.25">
      <c r="C11" s="20" t="s">
        <v>13</v>
      </c>
    </row>
    <row r="12" spans="1:51" x14ac:dyDescent="0.25">
      <c r="C12" s="20" t="s">
        <v>14</v>
      </c>
    </row>
    <row r="13" spans="1:51" x14ac:dyDescent="0.25">
      <c r="C13" s="20" t="s">
        <v>15</v>
      </c>
    </row>
    <row r="14" spans="1:51" x14ac:dyDescent="0.25">
      <c r="C14" s="20" t="s">
        <v>16</v>
      </c>
    </row>
    <row r="15" spans="1:51" x14ac:dyDescent="0.25">
      <c r="C15" s="20" t="s">
        <v>17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21</vt:i4>
      </vt:variant>
    </vt:vector>
  </HeadingPairs>
  <TitlesOfParts>
    <vt:vector size="23" baseType="lpstr">
      <vt:lpstr>Plan</vt:lpstr>
      <vt:lpstr>Settings</vt:lpstr>
      <vt:lpstr>color_by</vt:lpstr>
      <vt:lpstr>Plan!d.conn</vt:lpstr>
      <vt:lpstr>Plan!d.id</vt:lpstr>
      <vt:lpstr>Plan!d.lag</vt:lpstr>
      <vt:lpstr>Plan!date</vt:lpstr>
      <vt:lpstr>highlight</vt:lpstr>
      <vt:lpstr>Plan!id</vt:lpstr>
      <vt:lpstr>Plan!ind.end</vt:lpstr>
      <vt:lpstr>Plan!ind.start</vt:lpstr>
      <vt:lpstr>Plan!issue</vt:lpstr>
      <vt:lpstr>Plan!next_date</vt:lpstr>
      <vt:lpstr>Plan!percentage_complete</vt:lpstr>
      <vt:lpstr>Plan!plan_end</vt:lpstr>
      <vt:lpstr>Plan!plan_start</vt:lpstr>
      <vt:lpstr>Plan!prev_col_range</vt:lpstr>
      <vt:lpstr>Plan!scroll_increment</vt:lpstr>
      <vt:lpstr>show_progress</vt:lpstr>
      <vt:lpstr>Plan!stage_id</vt:lpstr>
      <vt:lpstr>Plan!team</vt:lpstr>
      <vt:lpstr>Plan!team_id</vt:lpstr>
      <vt:lpstr>Plan!type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herrera</dc:creator>
  <cp:lastModifiedBy>arturo herrera</cp:lastModifiedBy>
  <dcterms:created xsi:type="dcterms:W3CDTF">2025-09-29T15:20:04Z</dcterms:created>
  <dcterms:modified xsi:type="dcterms:W3CDTF">2025-09-30T02:04:11Z</dcterms:modified>
</cp:coreProperties>
</file>